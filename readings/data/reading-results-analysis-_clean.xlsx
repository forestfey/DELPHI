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ing-result-analysis_clean" sheetId="1" r:id="rId4"/>
  </sheets>
  <definedNames/>
  <calcPr/>
  <extLst>
    <ext uri="GoogleSheetsCustomDataVersion2">
      <go:sheetsCustomData xmlns:go="http://customooxmlschemas.google.com/" r:id="rId5" roundtripDataChecksum="XKTQ5lZoTn13bVQ4UDf+DPRM2gdx8FSbvo40mtAfSCw="/>
    </ext>
  </extLst>
</workbook>
</file>

<file path=xl/sharedStrings.xml><?xml version="1.0" encoding="utf-8"?>
<sst xmlns="http://schemas.openxmlformats.org/spreadsheetml/2006/main" count="804" uniqueCount="355">
  <si>
    <t>Date</t>
  </si>
  <si>
    <t>L-R Hexagram KW</t>
  </si>
  <si>
    <t>R-L Hexagram KW</t>
  </si>
  <si>
    <t>Dice Rolls</t>
  </si>
  <si>
    <t>Cards Pick</t>
  </si>
  <si>
    <t>Dice Spins</t>
  </si>
  <si>
    <t>Card Spins</t>
  </si>
  <si>
    <t>Card Trigram KW</t>
  </si>
  <si>
    <t>process anomaly*</t>
  </si>
  <si>
    <t>ISO</t>
  </si>
  <si>
    <t>card seq frq</t>
  </si>
  <si>
    <t>*definition of standard process: Dice=HRNG, Cardpick=LLM PRNG, Spin-Coins= HRNG</t>
  </si>
  <si>
    <t>NA</t>
  </si>
  <si>
    <t>1,5,1</t>
  </si>
  <si>
    <t>2,7,3</t>
  </si>
  <si>
    <t>down,down,up</t>
  </si>
  <si>
    <t>patched together dev-reading, approx. date reconstructed</t>
  </si>
  <si>
    <t>3,7,5</t>
  </si>
  <si>
    <t>1,6,4</t>
  </si>
  <si>
    <t>4,3,1</t>
  </si>
  <si>
    <t>up,up,up</t>
  </si>
  <si>
    <t>demoreading for (person), worldwide context question, cardpick with d8?</t>
  </si>
  <si>
    <t>2,5,7</t>
  </si>
  <si>
    <t>3,1,2</t>
  </si>
  <si>
    <t>1,3,4</t>
  </si>
  <si>
    <t>LLM-generated dev-reading, approx. date reconstructed</t>
  </si>
  <si>
    <t>09-08-2024-d</t>
  </si>
  <si>
    <t>3,7,1</t>
  </si>
  <si>
    <t>binary</t>
  </si>
  <si>
    <t>KW no.</t>
  </si>
  <si>
    <t>name</t>
  </si>
  <si>
    <t>4,5,6</t>
  </si>
  <si>
    <t>7,2,4</t>
  </si>
  <si>
    <t>"corrected" real results for LLM-reading, cardpick with d8?</t>
  </si>
  <si>
    <t>09-08-2024-d(c)</t>
  </si>
  <si>
    <t>4,7,2</t>
  </si>
  <si>
    <t>Heaven / ☰</t>
  </si>
  <si>
    <t>4,3,3</t>
  </si>
  <si>
    <t>7,4,5</t>
  </si>
  <si>
    <t>up,down,down</t>
  </si>
  <si>
    <t>dev-reading, approx. date reconstructed, cardpick with d8?</t>
  </si>
  <si>
    <t>10-08-2024-d</t>
  </si>
  <si>
    <t>3,6,7</t>
  </si>
  <si>
    <t>Lake / ☱</t>
  </si>
  <si>
    <t>2,3,6</t>
  </si>
  <si>
    <t>7,2,1</t>
  </si>
  <si>
    <t>up,down,up</t>
  </si>
  <si>
    <t>down,down,down</t>
  </si>
  <si>
    <t>12-08-2024-d</t>
  </si>
  <si>
    <t>5,4,1</t>
  </si>
  <si>
    <t>4,1,7</t>
  </si>
  <si>
    <t>up,up,down</t>
  </si>
  <si>
    <t>demoreading for (person), philosophical context question, cardpick with d8?</t>
  </si>
  <si>
    <t>16-08-2024</t>
  </si>
  <si>
    <t>Fire / ☲</t>
  </si>
  <si>
    <t>3,6,2</t>
  </si>
  <si>
    <t>worlwide context question, approx. date reconstructed, cardpick with d8?</t>
  </si>
  <si>
    <t>18-08-2024</t>
  </si>
  <si>
    <t>Thunder / ☳</t>
  </si>
  <si>
    <t>5,2,1</t>
  </si>
  <si>
    <t>3,6,1</t>
  </si>
  <si>
    <t>ticket-reading, approx. date reconstructed, completely LLM-generated?</t>
  </si>
  <si>
    <t>20-08-2024</t>
  </si>
  <si>
    <t>Wind / ☴</t>
  </si>
  <si>
    <t>1,4,3</t>
  </si>
  <si>
    <t>5,7,4</t>
  </si>
  <si>
    <t>down,up,up</t>
  </si>
  <si>
    <t>dev-reading, approx. date reconstructed, completely LLM-generated?</t>
  </si>
  <si>
    <t>20-08-2024-d</t>
  </si>
  <si>
    <t>Water / ☵</t>
  </si>
  <si>
    <t>3,1,4</t>
  </si>
  <si>
    <t>ticket-reading, approx. date reconstructed</t>
  </si>
  <si>
    <t>24-08-2024</t>
  </si>
  <si>
    <t>Mountain / ☶</t>
  </si>
  <si>
    <t>6,5,1</t>
  </si>
  <si>
    <t>dev-reading, approx. date reconstructed</t>
  </si>
  <si>
    <t>24-08-2024-d</t>
  </si>
  <si>
    <t>Earth / ☷</t>
  </si>
  <si>
    <t>1,2,1</t>
  </si>
  <si>
    <t>3,7,4</t>
  </si>
  <si>
    <t>personal reading, approx. date reconstructed</t>
  </si>
  <si>
    <t>26-08-2024</t>
  </si>
  <si>
    <t>4,5,5</t>
  </si>
  <si>
    <t>3,7,8</t>
  </si>
  <si>
    <t>down,up,down</t>
  </si>
  <si>
    <t>27-08-2024</t>
  </si>
  <si>
    <t>5,5,6</t>
  </si>
  <si>
    <t>27-08-2024-d</t>
  </si>
  <si>
    <t>1,2,3</t>
  </si>
  <si>
    <t>3,7,2</t>
  </si>
  <si>
    <t>28-08-2024</t>
  </si>
  <si>
    <t>4,4,1</t>
  </si>
  <si>
    <t>5,1,7</t>
  </si>
  <si>
    <t>demoreading for (person), approx. date reconstructed</t>
  </si>
  <si>
    <t>30-08-2024</t>
  </si>
  <si>
    <t>5,5,4</t>
  </si>
  <si>
    <t>4,7,6</t>
  </si>
  <si>
    <t>5,5,2</t>
  </si>
  <si>
    <t>worldwide context s+g reading, approx. date reconstructed</t>
  </si>
  <si>
    <t>1,2,5</t>
  </si>
  <si>
    <t>demoreading for (person)</t>
  </si>
  <si>
    <t>4,6,4</t>
  </si>
  <si>
    <t>3,6,8</t>
  </si>
  <si>
    <t>11-09-2024-(2)</t>
  </si>
  <si>
    <t>4,7,3</t>
  </si>
  <si>
    <t>E8 dev-reading, approx. date reconstructed</t>
  </si>
  <si>
    <t>19-09-2024</t>
  </si>
  <si>
    <t>5,2,2</t>
  </si>
  <si>
    <t>20-09-2024</t>
  </si>
  <si>
    <t>2,3,1</t>
  </si>
  <si>
    <t>discworld-year reading</t>
  </si>
  <si>
    <t>20-09-2024-(gnu)</t>
  </si>
  <si>
    <t>6,1,6</t>
  </si>
  <si>
    <t>personal reading</t>
  </si>
  <si>
    <t>23-09-2024</t>
  </si>
  <si>
    <t>3,3,1</t>
  </si>
  <si>
    <t>1,7,5</t>
  </si>
  <si>
    <t>philosophical demoreading for (person)</t>
  </si>
  <si>
    <t>24-09-2024</t>
  </si>
  <si>
    <t>4,4,6</t>
  </si>
  <si>
    <t>3,5,7</t>
  </si>
  <si>
    <t>01-10-2024-(1)</t>
  </si>
  <si>
    <t>2,4,2</t>
  </si>
  <si>
    <t>5,1,8</t>
  </si>
  <si>
    <t>01-10-2024-(2)</t>
  </si>
  <si>
    <t>1,3,6</t>
  </si>
  <si>
    <t>6,6,1</t>
  </si>
  <si>
    <t>13-11-2024-(1)</t>
  </si>
  <si>
    <t>4,1,6</t>
  </si>
  <si>
    <t>13-11-2024-(2)</t>
  </si>
  <si>
    <t>4,6,6</t>
  </si>
  <si>
    <t>dev-reading</t>
  </si>
  <si>
    <t>20-11-2024-d</t>
  </si>
  <si>
    <t>worlwide context re-run from 8/18/24</t>
  </si>
  <si>
    <t>22-11-2024-rep</t>
  </si>
  <si>
    <t>3,3,3</t>
  </si>
  <si>
    <t>worlwide philosophical context</t>
  </si>
  <si>
    <t>22-11-2024</t>
  </si>
  <si>
    <t>2,1,3</t>
  </si>
  <si>
    <t>philosophical dev-reading</t>
  </si>
  <si>
    <t>24-11-2024</t>
  </si>
  <si>
    <t>2,5,8</t>
  </si>
  <si>
    <t>Claude asked Q</t>
  </si>
  <si>
    <t>25-11-2024-aiq</t>
  </si>
  <si>
    <t>4,1,4</t>
  </si>
  <si>
    <t>29-11-2025</t>
  </si>
  <si>
    <t>1,1,5</t>
  </si>
  <si>
    <t>worlwide philosophical context, dice spins added later (date?)</t>
  </si>
  <si>
    <t>2,5,1</t>
  </si>
  <si>
    <t>3,5,4</t>
  </si>
  <si>
    <t>24-2-2024</t>
  </si>
  <si>
    <t>2,1,6</t>
  </si>
  <si>
    <t>patched together personal reading</t>
  </si>
  <si>
    <t>01-01-2025-p</t>
  </si>
  <si>
    <t>01-01-2025-d</t>
  </si>
  <si>
    <t>2,7,4</t>
  </si>
  <si>
    <t>05-01-202-p</t>
  </si>
  <si>
    <t>5,2,3</t>
  </si>
  <si>
    <t>08-01-2025-p</t>
  </si>
  <si>
    <t>2,2,3</t>
  </si>
  <si>
    <t>09-01-2025-d</t>
  </si>
  <si>
    <t>4,2,4</t>
  </si>
  <si>
    <t>s+g demoreading for (high profile person), decided against "tagging"</t>
  </si>
  <si>
    <t>22-01-2025-VIP</t>
  </si>
  <si>
    <t>5,2,6</t>
  </si>
  <si>
    <t>8,3,2</t>
  </si>
  <si>
    <t>30-01-2025-VIP</t>
  </si>
  <si>
    <t>6,6,2</t>
  </si>
  <si>
    <t>1,2,6</t>
  </si>
  <si>
    <t>30-01-2025-p</t>
  </si>
  <si>
    <t>2,6,2</t>
  </si>
  <si>
    <t>1,3,2</t>
  </si>
  <si>
    <t>06-02-2025-p</t>
  </si>
  <si>
    <t>3,5,1</t>
  </si>
  <si>
    <t>LLM (gpt) dice "hallucination"</t>
  </si>
  <si>
    <t>06-02-2025-nc</t>
  </si>
  <si>
    <t>5,5,3</t>
  </si>
  <si>
    <t>dice only nav-check</t>
  </si>
  <si>
    <t>1,5,3</t>
  </si>
  <si>
    <t>17-02-2025</t>
  </si>
  <si>
    <t>18-02-2025</t>
  </si>
  <si>
    <t>1,1,1</t>
  </si>
  <si>
    <t>28-02-2025</t>
  </si>
  <si>
    <t>4,2,3</t>
  </si>
  <si>
    <t>1,5,4</t>
  </si>
  <si>
    <t>LLM (Claude) completely</t>
  </si>
  <si>
    <t>03-03-2025-p</t>
  </si>
  <si>
    <t>5,1,4</t>
  </si>
  <si>
    <t>4,7,1</t>
  </si>
  <si>
    <t>6,1,3</t>
  </si>
  <si>
    <t>8,5,1</t>
  </si>
  <si>
    <t>12-03-2025-ai</t>
  </si>
  <si>
    <t>6,4,3</t>
  </si>
  <si>
    <t>LLM (Claude) card spins</t>
  </si>
  <si>
    <t>12-03-2025-u</t>
  </si>
  <si>
    <t>2,3,5</t>
  </si>
  <si>
    <t>23-03-2025</t>
  </si>
  <si>
    <t>29-03-2025</t>
  </si>
  <si>
    <t>1,2,4</t>
  </si>
  <si>
    <t>3,6,5</t>
  </si>
  <si>
    <t>6,3,8</t>
  </si>
  <si>
    <t>11-04-2025-p</t>
  </si>
  <si>
    <t>6,6,6</t>
  </si>
  <si>
    <t>personal reading, possible dice roll precog event</t>
  </si>
  <si>
    <t>13-04-2025-p</t>
  </si>
  <si>
    <t>4,2,1</t>
  </si>
  <si>
    <t>7,2,6</t>
  </si>
  <si>
    <t>18-04-2025</t>
  </si>
  <si>
    <t>26-04-2025</t>
  </si>
  <si>
    <t>5,5,1</t>
  </si>
  <si>
    <t>6,4,7</t>
  </si>
  <si>
    <t>4,3,4</t>
  </si>
  <si>
    <t>3,5,8</t>
  </si>
  <si>
    <t>2,4,7</t>
  </si>
  <si>
    <t>17-05-2025</t>
  </si>
  <si>
    <t>2,5,4</t>
  </si>
  <si>
    <t>23-05-2025</t>
  </si>
  <si>
    <t>1,3,1</t>
  </si>
  <si>
    <t>5,1,3</t>
  </si>
  <si>
    <t>30-05-2025</t>
  </si>
  <si>
    <t>2,2,1</t>
  </si>
  <si>
    <t>03-06-2025-p</t>
  </si>
  <si>
    <t>6,4,4</t>
  </si>
  <si>
    <t>possible dice roll precog event</t>
  </si>
  <si>
    <t>13-06-2025</t>
  </si>
  <si>
    <t>2,2,4</t>
  </si>
  <si>
    <t>5,1,6</t>
  </si>
  <si>
    <t>20-06-2025</t>
  </si>
  <si>
    <t>LLM (gpt) card spins</t>
  </si>
  <si>
    <t>27-06-2025</t>
  </si>
  <si>
    <t>4,5,2</t>
  </si>
  <si>
    <t>04-07-2025-u</t>
  </si>
  <si>
    <t>LLM (gpt) dice, but same Q +cards +spins as b4</t>
  </si>
  <si>
    <t>04-07-2025-ai</t>
  </si>
  <si>
    <t>6,5,4</t>
  </si>
  <si>
    <t>6,2,4</t>
  </si>
  <si>
    <t>06-07-2025-p</t>
  </si>
  <si>
    <t>3,2,2</t>
  </si>
  <si>
    <t>2,6,6</t>
  </si>
  <si>
    <t>6,1,7</t>
  </si>
  <si>
    <t>18-07-2025</t>
  </si>
  <si>
    <t>2,5,2</t>
  </si>
  <si>
    <t>6,2,7</t>
  </si>
  <si>
    <t>18-07-2025-g</t>
  </si>
  <si>
    <t>5,3,1</t>
  </si>
  <si>
    <t>25-07-2025</t>
  </si>
  <si>
    <t>5,1,2</t>
  </si>
  <si>
    <t>2,2,5</t>
  </si>
  <si>
    <t>possible card spin precog event</t>
  </si>
  <si>
    <t>15-08-2025</t>
  </si>
  <si>
    <t>5,3,2</t>
  </si>
  <si>
    <t>3,4,8</t>
  </si>
  <si>
    <t>at trip location</t>
  </si>
  <si>
    <t>22-08-2025</t>
  </si>
  <si>
    <t>4,1,3</t>
  </si>
  <si>
    <t>29-08-2025</t>
  </si>
  <si>
    <t>7,2,5</t>
  </si>
  <si>
    <t>3,4,6</t>
  </si>
  <si>
    <t>6,7,1</t>
  </si>
  <si>
    <t>dice combos</t>
  </si>
  <si>
    <t>card trigrams</t>
  </si>
  <si>
    <t>precog events as of:</t>
  </si>
  <si>
    <t>5,4,5</t>
  </si>
  <si>
    <t>7,5,1</t>
  </si>
  <si>
    <t>19-09-2025</t>
  </si>
  <si>
    <t>fire combos</t>
  </si>
  <si>
    <t>heaven trigram</t>
  </si>
  <si>
    <t>20-02-2026</t>
  </si>
  <si>
    <t>6,3,4</t>
  </si>
  <si>
    <t>8,4,6</t>
  </si>
  <si>
    <t>27-09-2025</t>
  </si>
  <si>
    <t>air combos</t>
  </si>
  <si>
    <t>earth trigram</t>
  </si>
  <si>
    <t>19-04-2026</t>
  </si>
  <si>
    <t>1,6,3</t>
  </si>
  <si>
    <t>hexagram prediction after first card spin</t>
  </si>
  <si>
    <t>earth combos</t>
  </si>
  <si>
    <t>fire trigram</t>
  </si>
  <si>
    <t>3,6,4</t>
  </si>
  <si>
    <t>2,4,8</t>
  </si>
  <si>
    <t>hexagram prediction after last dice spin</t>
  </si>
  <si>
    <t>water combos</t>
  </si>
  <si>
    <t>water trigram</t>
  </si>
  <si>
    <t>4,5,4</t>
  </si>
  <si>
    <t>2,6,8</t>
  </si>
  <si>
    <t>hexagram prediction after last dice/first card spin</t>
  </si>
  <si>
    <t>17-10-2025</t>
  </si>
  <si>
    <t>vortex combos</t>
  </si>
  <si>
    <t>1,5,6</t>
  </si>
  <si>
    <t>1,6,7</t>
  </si>
  <si>
    <t>24-10-2025</t>
  </si>
  <si>
    <t>star combos</t>
  </si>
  <si>
    <t>27-10-2025-p</t>
  </si>
  <si>
    <t>6,6,5</t>
  </si>
  <si>
    <t>29-10-2025-p</t>
  </si>
  <si>
    <t>2,6,5</t>
  </si>
  <si>
    <t>1,6,8</t>
  </si>
  <si>
    <t>31-10-2025</t>
  </si>
  <si>
    <t>5,3,3</t>
  </si>
  <si>
    <t>3,4,7</t>
  </si>
  <si>
    <t>7,4,1</t>
  </si>
  <si>
    <t>14-11-2025</t>
  </si>
  <si>
    <t>4,3,5</t>
  </si>
  <si>
    <t>21-11-2025</t>
  </si>
  <si>
    <t>5,4,2</t>
  </si>
  <si>
    <t>Claude card pick, "Q-blinded" interpretations</t>
  </si>
  <si>
    <t>28-11-2025</t>
  </si>
  <si>
    <t>2,4,4</t>
  </si>
  <si>
    <t>5,2,7</t>
  </si>
  <si>
    <t>Claude card pick</t>
  </si>
  <si>
    <t>13-12-2025</t>
  </si>
  <si>
    <t>4,5,3</t>
  </si>
  <si>
    <t>Claude card pick, last dice spin precog</t>
  </si>
  <si>
    <t>19-12-2025</t>
  </si>
  <si>
    <t>Naga card pick</t>
  </si>
  <si>
    <t>26-12-2025</t>
  </si>
  <si>
    <t>8,6,4</t>
  </si>
  <si>
    <t>Grok card pick</t>
  </si>
  <si>
    <t>1,4,5</t>
  </si>
  <si>
    <t>7,3,5</t>
  </si>
  <si>
    <t>16-01-2026</t>
  </si>
  <si>
    <t>6,3,3</t>
  </si>
  <si>
    <t>2,7,5</t>
  </si>
  <si>
    <t>23-01-2026</t>
  </si>
  <si>
    <t>5,7,3</t>
  </si>
  <si>
    <t>(different) Claude card pick</t>
  </si>
  <si>
    <t>30-01-2026</t>
  </si>
  <si>
    <t>2,1,4</t>
  </si>
  <si>
    <t>7,3,1</t>
  </si>
  <si>
    <t>Gemini card pick, "almost" hex prediction (one spin of the last 2 off, but i knew the 2nd trigram would be "luminous", too, which it is with fire)</t>
  </si>
  <si>
    <t>13-02-2026</t>
  </si>
  <si>
    <t>Claude card pick, last 2 dice spins precog</t>
  </si>
  <si>
    <t>27-02-2026</t>
  </si>
  <si>
    <t>3,5,2</t>
  </si>
  <si>
    <t>1,4,1</t>
  </si>
  <si>
    <t>5,3,8</t>
  </si>
  <si>
    <t>Gemini card pick, demoreading, dice combo predicted</t>
  </si>
  <si>
    <t>4,4,3</t>
  </si>
  <si>
    <t>Grok card pick, dice combo predicted, personal reading</t>
  </si>
  <si>
    <t>12-03-2026-p</t>
  </si>
  <si>
    <t>Claude card pick, last 2 card spins precog</t>
  </si>
  <si>
    <t>13-03-2026</t>
  </si>
  <si>
    <t>7,4,2</t>
  </si>
  <si>
    <t>Gemini card pick, 2nd dice spin precog</t>
  </si>
  <si>
    <t>20-03-2026</t>
  </si>
  <si>
    <t>3,4,5</t>
  </si>
  <si>
    <t>27-03-2026</t>
  </si>
  <si>
    <t>5,5,5</t>
  </si>
  <si>
    <t>2,6,3</t>
  </si>
  <si>
    <t>5,3,4</t>
  </si>
  <si>
    <t>Gemini card pick, last card spin precog</t>
  </si>
  <si>
    <t>5,3,5</t>
  </si>
  <si>
    <t>2,3,8</t>
  </si>
  <si>
    <t>Grok card pick, demoreading for person</t>
  </si>
  <si>
    <t>20-04-2026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</si>
</sst>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-dd-yyyy"/>
    <numFmt numFmtId="166" formatCode="m-d-yyyy"/>
    <numFmt numFmtId="167" formatCode="mm\-dd\-yyyy"/>
    <numFmt numFmtId="168" formatCode="mm/dd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F9CB9C"/>
        <bgColor rgb="FFF9CB9C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FCE5CD"/>
        <bgColor rgb="FFFCE5CD"/>
      </patternFill>
    </fill>
    <fill>
      <patternFill patternType="solid">
        <fgColor rgb="FF9900FF"/>
        <bgColor rgb="FF9900FF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Font="1"/>
    <xf borderId="0" fillId="3" fontId="1" numFmtId="0" xfId="0" applyFill="1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Fill="1" applyFont="1"/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Fill="1" applyFont="1"/>
    <xf borderId="0" fillId="1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12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16" fontId="1" numFmtId="0" xfId="0" applyAlignment="1" applyFill="1" applyFont="1">
      <alignment readingOrder="0"/>
    </xf>
    <xf borderId="0" fillId="2" fontId="1" numFmtId="0" xfId="0" applyFont="1"/>
    <xf borderId="0" fillId="0" fontId="1" numFmtId="166" xfId="0" applyAlignment="1" applyFont="1" applyNumberFormat="1">
      <alignment horizontal="left" readingOrder="0"/>
    </xf>
    <xf borderId="0" fillId="17" fontId="1" numFmtId="0" xfId="0" applyAlignment="1" applyFill="1" applyFont="1">
      <alignment readingOrder="0"/>
    </xf>
    <xf borderId="0" fillId="13" fontId="1" numFmtId="0" xfId="0" applyAlignment="1" applyFont="1">
      <alignment readingOrder="0"/>
    </xf>
    <xf borderId="0" fillId="14" fontId="1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2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/>
    </xf>
    <xf borderId="4" fillId="0" fontId="2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5" fillId="10" fontId="1" numFmtId="0" xfId="0" applyAlignment="1" applyBorder="1" applyFont="1">
      <alignment readingOrder="0"/>
    </xf>
    <xf borderId="5" fillId="0" fontId="1" numFmtId="0" xfId="0" applyBorder="1" applyFont="1"/>
    <xf borderId="5" fillId="0" fontId="2" numFmtId="0" xfId="0" applyAlignment="1" applyBorder="1" applyFont="1">
      <alignment readingOrder="0"/>
    </xf>
    <xf borderId="6" fillId="0" fontId="1" numFmtId="0" xfId="0" applyAlignment="1" applyBorder="1" applyFont="1">
      <alignment horizontal="left" readingOrder="0"/>
    </xf>
    <xf borderId="0" fillId="18" fontId="1" numFmtId="0" xfId="0" applyFill="1" applyFont="1"/>
    <xf borderId="0" fillId="14" fontId="1" numFmtId="0" xfId="0" applyFont="1"/>
    <xf borderId="0" fillId="9" fontId="1" numFmtId="0" xfId="0" applyFont="1"/>
    <xf borderId="0" fillId="19" fontId="1" numFmtId="0" xfId="0" applyFill="1" applyFont="1"/>
    <xf borderId="0" fillId="0" fontId="1" numFmtId="167" xfId="0" applyAlignment="1" applyFont="1" applyNumberFormat="1">
      <alignment horizontal="left"/>
    </xf>
    <xf borderId="1" fillId="0" fontId="1" numFmtId="164" xfId="0" applyBorder="1" applyFont="1" applyNumberFormat="1"/>
    <xf borderId="3" fillId="0" fontId="1" numFmtId="0" xfId="0" applyAlignment="1" applyBorder="1" applyFont="1">
      <alignment horizontal="left"/>
    </xf>
    <xf borderId="4" fillId="0" fontId="1" numFmtId="164" xfId="0" applyBorder="1" applyFont="1" applyNumberFormat="1"/>
    <xf borderId="5" fillId="20" fontId="1" numFmtId="0" xfId="0" applyBorder="1" applyFill="1" applyFont="1"/>
    <xf borderId="5" fillId="3" fontId="1" numFmtId="0" xfId="0" applyBorder="1" applyFont="1"/>
    <xf borderId="6" fillId="0" fontId="1" numFmtId="0" xfId="0" applyAlignment="1" applyBorder="1" applyFont="1">
      <alignment horizontal="left"/>
    </xf>
    <xf borderId="0" fillId="10" fontId="1" numFmtId="0" xfId="0" applyFont="1"/>
    <xf borderId="0" fillId="4" fontId="1" numFmtId="0" xfId="0" applyFont="1"/>
    <xf borderId="0" fillId="21" fontId="1" numFmtId="0" xfId="0" applyFill="1" applyFont="1"/>
    <xf borderId="0" fillId="22" fontId="1" numFmtId="0" xfId="0" applyFill="1" applyFont="1"/>
    <xf borderId="0" fillId="12" fontId="1" numFmtId="0" xfId="0" applyFont="1"/>
    <xf borderId="0" fillId="23" fontId="1" numFmtId="0" xfId="0" applyFill="1" applyFont="1"/>
    <xf borderId="0" fillId="13" fontId="1" numFmtId="0" xfId="0" applyFont="1"/>
    <xf borderId="0" fillId="20" fontId="1" numFmtId="0" xfId="0" applyFont="1"/>
    <xf borderId="1" fillId="0" fontId="1" numFmtId="164" xfId="0" applyAlignment="1" applyBorder="1" applyFont="1" applyNumberFormat="1">
      <alignment readingOrder="0"/>
    </xf>
    <xf borderId="2" fillId="9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2" fillId="11" fontId="2" numFmtId="0" xfId="0" applyAlignment="1" applyBorder="1" applyFont="1">
      <alignment readingOrder="0"/>
    </xf>
    <xf borderId="2" fillId="0" fontId="2" numFmtId="0" xfId="0" applyBorder="1" applyFont="1"/>
    <xf borderId="4" fillId="0" fontId="1" numFmtId="164" xfId="0" applyAlignment="1" applyBorder="1" applyFont="1" applyNumberFormat="1">
      <alignment readingOrder="0"/>
    </xf>
    <xf borderId="5" fillId="24" fontId="2" numFmtId="0" xfId="0" applyAlignment="1" applyBorder="1" applyFill="1" applyFont="1">
      <alignment readingOrder="0"/>
    </xf>
    <xf borderId="5" fillId="20" fontId="2" numFmtId="0" xfId="0" applyAlignment="1" applyBorder="1" applyFont="1">
      <alignment readingOrder="0"/>
    </xf>
    <xf borderId="5" fillId="25" fontId="2" numFmtId="0" xfId="0" applyAlignment="1" applyBorder="1" applyFill="1" applyFont="1">
      <alignment readingOrder="0"/>
    </xf>
    <xf borderId="0" fillId="26" fontId="2" numFmtId="0" xfId="0" applyAlignment="1" applyFill="1" applyFont="1">
      <alignment readingOrder="0"/>
    </xf>
    <xf borderId="0" fillId="17" fontId="2" numFmtId="0" xfId="0" applyAlignment="1" applyFont="1">
      <alignment readingOrder="0"/>
    </xf>
    <xf borderId="0" fillId="27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28" fontId="2" numFmtId="0" xfId="0" applyAlignment="1" applyFill="1" applyFont="1">
      <alignment readingOrder="0"/>
    </xf>
    <xf borderId="0" fillId="19" fontId="2" numFmtId="0" xfId="0" applyAlignment="1" applyFont="1">
      <alignment readingOrder="0"/>
    </xf>
    <xf borderId="0" fillId="29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15" fontId="2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30" fontId="2" numFmtId="0" xfId="0" applyAlignment="1" applyFill="1" applyFont="1">
      <alignment readingOrder="0"/>
    </xf>
    <xf borderId="0" fillId="21" fontId="2" numFmtId="0" xfId="0" applyAlignment="1" applyFont="1">
      <alignment readingOrder="0"/>
    </xf>
    <xf borderId="0" fillId="31" fontId="2" numFmtId="0" xfId="0" applyAlignment="1" applyFill="1" applyFont="1">
      <alignment readingOrder="0"/>
    </xf>
    <xf borderId="0" fillId="32" fontId="2" numFmtId="0" xfId="0" applyAlignment="1" applyFill="1" applyFont="1">
      <alignment readingOrder="0"/>
    </xf>
    <xf borderId="0" fillId="3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11.0"/>
    <col customWidth="1" min="8" max="8" width="7.5"/>
    <col customWidth="1" min="9" max="9" width="15.13"/>
    <col customWidth="1" min="10" max="10" width="11.0"/>
    <col customWidth="1" min="11" max="11" width="5.88"/>
    <col customWidth="1" min="12" max="13" width="11.0"/>
    <col customWidth="1" min="14" max="14" width="6.25"/>
    <col customWidth="1" min="15" max="16" width="11.0"/>
    <col customWidth="1" min="17" max="17" width="6.63"/>
    <col customWidth="1" min="18" max="27" width="11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L1" s="5" t="s">
        <v>10</v>
      </c>
      <c r="P1" s="5" t="s">
        <v>11</v>
      </c>
    </row>
    <row r="2" ht="15.75" customHeight="1">
      <c r="A2" s="6">
        <v>45508.0</v>
      </c>
      <c r="B2" s="2" t="s">
        <v>12</v>
      </c>
      <c r="C2" s="2" t="s">
        <v>12</v>
      </c>
      <c r="D2" s="7" t="s">
        <v>13</v>
      </c>
      <c r="E2" s="2" t="s">
        <v>14</v>
      </c>
      <c r="F2" s="2" t="s">
        <v>12</v>
      </c>
      <c r="G2" s="3" t="s">
        <v>15</v>
      </c>
      <c r="H2" s="5">
        <v>4.0</v>
      </c>
      <c r="I2" s="5" t="s">
        <v>16</v>
      </c>
      <c r="J2" s="8">
        <v>45390.0</v>
      </c>
      <c r="L2" s="5" t="s">
        <v>17</v>
      </c>
      <c r="M2" s="9">
        <f>COUNTIF(E2:E116, "3,7,5")</f>
        <v>9</v>
      </c>
    </row>
    <row r="3" ht="15.75" customHeight="1">
      <c r="A3" s="6">
        <v>45512.0</v>
      </c>
      <c r="B3" s="2" t="s">
        <v>12</v>
      </c>
      <c r="C3" s="2" t="s">
        <v>12</v>
      </c>
      <c r="D3" s="2" t="s">
        <v>18</v>
      </c>
      <c r="E3" s="2" t="s">
        <v>19</v>
      </c>
      <c r="F3" s="2" t="s">
        <v>12</v>
      </c>
      <c r="G3" s="10" t="s">
        <v>20</v>
      </c>
      <c r="H3" s="5">
        <v>1.0</v>
      </c>
      <c r="I3" s="5" t="s">
        <v>21</v>
      </c>
      <c r="J3" s="8">
        <v>45512.0</v>
      </c>
      <c r="L3" s="5" t="s">
        <v>22</v>
      </c>
      <c r="M3" s="9">
        <f>COUNTIF(E2:E116, "2,5,7")-1</f>
        <v>10</v>
      </c>
    </row>
    <row r="4" ht="15.75" customHeight="1">
      <c r="A4" s="6">
        <v>45513.0</v>
      </c>
      <c r="B4" s="2" t="s">
        <v>12</v>
      </c>
      <c r="C4" s="2" t="s">
        <v>12</v>
      </c>
      <c r="D4" s="2" t="s">
        <v>23</v>
      </c>
      <c r="E4" s="2" t="s">
        <v>24</v>
      </c>
      <c r="F4" s="2" t="s">
        <v>12</v>
      </c>
      <c r="G4" s="10" t="s">
        <v>20</v>
      </c>
      <c r="H4" s="5">
        <v>1.0</v>
      </c>
      <c r="I4" s="5" t="s">
        <v>25</v>
      </c>
      <c r="J4" s="11" t="s">
        <v>26</v>
      </c>
      <c r="L4" s="5" t="s">
        <v>27</v>
      </c>
      <c r="M4" s="9">
        <f>COUNTIF(E2:E116, "3,7,1")</f>
        <v>5</v>
      </c>
      <c r="P4" s="12" t="s">
        <v>28</v>
      </c>
      <c r="Q4" s="12" t="s">
        <v>29</v>
      </c>
      <c r="R4" s="12" t="s">
        <v>30</v>
      </c>
    </row>
    <row r="5" ht="15.75" customHeight="1">
      <c r="A5" s="6">
        <v>45513.0</v>
      </c>
      <c r="B5" s="2" t="s">
        <v>12</v>
      </c>
      <c r="C5" s="2" t="s">
        <v>12</v>
      </c>
      <c r="D5" s="2" t="s">
        <v>31</v>
      </c>
      <c r="E5" s="2" t="s">
        <v>32</v>
      </c>
      <c r="F5" s="2" t="s">
        <v>12</v>
      </c>
      <c r="G5" s="3" t="s">
        <v>15</v>
      </c>
      <c r="H5" s="5">
        <v>4.0</v>
      </c>
      <c r="I5" s="5" t="s">
        <v>33</v>
      </c>
      <c r="J5" s="11" t="s">
        <v>34</v>
      </c>
      <c r="L5" s="5" t="s">
        <v>35</v>
      </c>
      <c r="M5" s="9">
        <f>COUNTIF(E2:E116, "4,7,2")</f>
        <v>6</v>
      </c>
      <c r="P5" s="5">
        <v>111.0</v>
      </c>
      <c r="Q5" s="5">
        <v>1.0</v>
      </c>
      <c r="R5" s="5" t="s">
        <v>36</v>
      </c>
    </row>
    <row r="6" ht="15.75" customHeight="1">
      <c r="A6" s="6">
        <v>45514.0</v>
      </c>
      <c r="B6" s="2" t="s">
        <v>12</v>
      </c>
      <c r="C6" s="2" t="s">
        <v>12</v>
      </c>
      <c r="D6" s="13" t="s">
        <v>37</v>
      </c>
      <c r="E6" s="2" t="s">
        <v>38</v>
      </c>
      <c r="F6" s="2" t="s">
        <v>12</v>
      </c>
      <c r="G6" s="3" t="s">
        <v>39</v>
      </c>
      <c r="H6" s="5">
        <v>7.0</v>
      </c>
      <c r="I6" s="5" t="s">
        <v>40</v>
      </c>
      <c r="J6" s="11" t="s">
        <v>41</v>
      </c>
      <c r="L6" s="5" t="s">
        <v>42</v>
      </c>
      <c r="M6" s="9">
        <f>COUNTIF(E2:E116, "3,6,7")</f>
        <v>4</v>
      </c>
      <c r="P6" s="5">
        <v>11.0</v>
      </c>
      <c r="Q6" s="5">
        <v>2.0</v>
      </c>
      <c r="R6" s="5" t="s">
        <v>43</v>
      </c>
    </row>
    <row r="7" ht="15.75" customHeight="1">
      <c r="A7" s="6">
        <v>45516.0</v>
      </c>
      <c r="B7" s="14">
        <v>35.0</v>
      </c>
      <c r="C7" s="14">
        <v>36.0</v>
      </c>
      <c r="D7" s="2" t="s">
        <v>44</v>
      </c>
      <c r="E7" s="2" t="s">
        <v>45</v>
      </c>
      <c r="F7" s="15" t="s">
        <v>46</v>
      </c>
      <c r="G7" s="16" t="s">
        <v>47</v>
      </c>
      <c r="H7" s="5">
        <v>8.0</v>
      </c>
      <c r="I7" s="5" t="s">
        <v>40</v>
      </c>
      <c r="J7" s="11" t="s">
        <v>48</v>
      </c>
      <c r="P7" s="5"/>
      <c r="Q7" s="5"/>
      <c r="R7" s="5"/>
    </row>
    <row r="8" ht="15.75" customHeight="1">
      <c r="A8" s="6">
        <v>45520.0</v>
      </c>
      <c r="B8" s="2" t="s">
        <v>12</v>
      </c>
      <c r="C8" s="2" t="s">
        <v>12</v>
      </c>
      <c r="D8" s="2" t="s">
        <v>49</v>
      </c>
      <c r="E8" s="2" t="s">
        <v>50</v>
      </c>
      <c r="F8" s="2" t="s">
        <v>12</v>
      </c>
      <c r="G8" s="3" t="s">
        <v>51</v>
      </c>
      <c r="H8" s="5">
        <v>5.0</v>
      </c>
      <c r="I8" s="5" t="s">
        <v>52</v>
      </c>
      <c r="J8" s="11" t="s">
        <v>53</v>
      </c>
      <c r="P8" s="5">
        <v>101.0</v>
      </c>
      <c r="Q8" s="5">
        <v>3.0</v>
      </c>
      <c r="R8" s="5" t="s">
        <v>54</v>
      </c>
    </row>
    <row r="9" ht="15.75" customHeight="1">
      <c r="A9" s="6">
        <v>45522.0</v>
      </c>
      <c r="B9" s="2" t="s">
        <v>12</v>
      </c>
      <c r="C9" s="2" t="s">
        <v>12</v>
      </c>
      <c r="D9" s="2" t="s">
        <v>55</v>
      </c>
      <c r="E9" s="2" t="s">
        <v>55</v>
      </c>
      <c r="F9" s="2" t="s">
        <v>12</v>
      </c>
      <c r="G9" s="3" t="s">
        <v>39</v>
      </c>
      <c r="H9" s="5">
        <v>7.0</v>
      </c>
      <c r="I9" s="5" t="s">
        <v>56</v>
      </c>
      <c r="J9" s="11" t="s">
        <v>57</v>
      </c>
      <c r="P9" s="5">
        <v>1.0</v>
      </c>
      <c r="Q9" s="5">
        <v>4.0</v>
      </c>
      <c r="R9" s="5" t="s">
        <v>58</v>
      </c>
    </row>
    <row r="10" ht="15.75" customHeight="1">
      <c r="A10" s="6">
        <v>45524.0</v>
      </c>
      <c r="B10" s="2" t="s">
        <v>12</v>
      </c>
      <c r="C10" s="2" t="s">
        <v>12</v>
      </c>
      <c r="D10" s="2" t="s">
        <v>59</v>
      </c>
      <c r="E10" s="2" t="s">
        <v>60</v>
      </c>
      <c r="F10" s="2" t="s">
        <v>12</v>
      </c>
      <c r="G10" s="15" t="s">
        <v>46</v>
      </c>
      <c r="H10" s="5">
        <v>3.0</v>
      </c>
      <c r="I10" s="5" t="s">
        <v>61</v>
      </c>
      <c r="J10" s="11" t="s">
        <v>62</v>
      </c>
      <c r="P10" s="5">
        <v>110.0</v>
      </c>
      <c r="Q10" s="5">
        <v>5.0</v>
      </c>
      <c r="R10" s="5" t="s">
        <v>63</v>
      </c>
    </row>
    <row r="11" ht="15.75" customHeight="1">
      <c r="A11" s="6">
        <v>45524.0</v>
      </c>
      <c r="B11" s="2" t="s">
        <v>12</v>
      </c>
      <c r="C11" s="2" t="s">
        <v>12</v>
      </c>
      <c r="D11" s="2" t="s">
        <v>64</v>
      </c>
      <c r="E11" s="2" t="s">
        <v>65</v>
      </c>
      <c r="F11" s="2" t="s">
        <v>12</v>
      </c>
      <c r="G11" s="3" t="s">
        <v>66</v>
      </c>
      <c r="H11" s="5">
        <v>2.0</v>
      </c>
      <c r="I11" s="5" t="s">
        <v>67</v>
      </c>
      <c r="J11" s="11" t="s">
        <v>68</v>
      </c>
      <c r="P11" s="5">
        <v>10.0</v>
      </c>
      <c r="Q11" s="5">
        <v>6.0</v>
      </c>
      <c r="R11" s="5" t="s">
        <v>69</v>
      </c>
    </row>
    <row r="12" ht="15.75" customHeight="1">
      <c r="A12" s="6">
        <v>45528.0</v>
      </c>
      <c r="B12" s="2" t="s">
        <v>12</v>
      </c>
      <c r="C12" s="2" t="s">
        <v>12</v>
      </c>
      <c r="D12" s="2" t="s">
        <v>70</v>
      </c>
      <c r="E12" s="17" t="s">
        <v>17</v>
      </c>
      <c r="F12" s="2" t="s">
        <v>12</v>
      </c>
      <c r="G12" s="10" t="s">
        <v>20</v>
      </c>
      <c r="H12" s="5">
        <v>1.0</v>
      </c>
      <c r="I12" s="5" t="s">
        <v>71</v>
      </c>
      <c r="J12" s="11" t="s">
        <v>72</v>
      </c>
      <c r="P12" s="5">
        <v>100.0</v>
      </c>
      <c r="Q12" s="5">
        <v>7.0</v>
      </c>
      <c r="R12" s="5" t="s">
        <v>73</v>
      </c>
    </row>
    <row r="13" ht="15.75" customHeight="1">
      <c r="A13" s="6">
        <v>45528.0</v>
      </c>
      <c r="B13" s="2" t="s">
        <v>12</v>
      </c>
      <c r="C13" s="2" t="s">
        <v>12</v>
      </c>
      <c r="D13" s="2" t="s">
        <v>74</v>
      </c>
      <c r="E13" s="18" t="s">
        <v>22</v>
      </c>
      <c r="F13" s="2" t="s">
        <v>12</v>
      </c>
      <c r="G13" s="16" t="s">
        <v>47</v>
      </c>
      <c r="H13" s="5">
        <v>8.0</v>
      </c>
      <c r="I13" s="5" t="s">
        <v>75</v>
      </c>
      <c r="J13" s="11" t="s">
        <v>76</v>
      </c>
      <c r="P13" s="5">
        <v>0.0</v>
      </c>
      <c r="Q13" s="5">
        <v>8.0</v>
      </c>
      <c r="R13" s="5" t="s">
        <v>77</v>
      </c>
    </row>
    <row r="14" ht="15.75" customHeight="1">
      <c r="A14" s="6">
        <v>45530.0</v>
      </c>
      <c r="B14" s="2" t="s">
        <v>12</v>
      </c>
      <c r="C14" s="2" t="s">
        <v>12</v>
      </c>
      <c r="D14" s="7" t="s">
        <v>78</v>
      </c>
      <c r="E14" s="2" t="s">
        <v>79</v>
      </c>
      <c r="F14" s="2" t="s">
        <v>12</v>
      </c>
      <c r="G14" s="3" t="s">
        <v>39</v>
      </c>
      <c r="H14" s="5">
        <v>7.0</v>
      </c>
      <c r="I14" s="5" t="s">
        <v>80</v>
      </c>
      <c r="J14" s="11" t="s">
        <v>81</v>
      </c>
    </row>
    <row r="15" ht="15.75" customHeight="1">
      <c r="A15" s="6">
        <v>45531.0</v>
      </c>
      <c r="B15" s="2" t="s">
        <v>12</v>
      </c>
      <c r="C15" s="2" t="s">
        <v>12</v>
      </c>
      <c r="D15" s="19" t="s">
        <v>82</v>
      </c>
      <c r="E15" s="2" t="s">
        <v>83</v>
      </c>
      <c r="F15" s="2" t="s">
        <v>12</v>
      </c>
      <c r="G15" s="20" t="s">
        <v>84</v>
      </c>
      <c r="H15" s="5">
        <v>6.0</v>
      </c>
      <c r="I15" s="5" t="s">
        <v>71</v>
      </c>
      <c r="J15" s="11" t="s">
        <v>85</v>
      </c>
    </row>
    <row r="16" ht="15.75" customHeight="1">
      <c r="A16" s="6">
        <v>45531.0</v>
      </c>
      <c r="B16" s="2" t="s">
        <v>12</v>
      </c>
      <c r="C16" s="2" t="s">
        <v>12</v>
      </c>
      <c r="D16" s="19" t="s">
        <v>86</v>
      </c>
      <c r="E16" s="2" t="s">
        <v>60</v>
      </c>
      <c r="F16" s="2" t="s">
        <v>12</v>
      </c>
      <c r="G16" s="3" t="s">
        <v>66</v>
      </c>
      <c r="H16" s="5">
        <v>2.0</v>
      </c>
      <c r="I16" s="5" t="s">
        <v>75</v>
      </c>
      <c r="J16" s="11" t="s">
        <v>87</v>
      </c>
    </row>
    <row r="17" ht="15.75" customHeight="1">
      <c r="A17" s="6">
        <v>45532.0</v>
      </c>
      <c r="B17" s="2" t="s">
        <v>12</v>
      </c>
      <c r="C17" s="2" t="s">
        <v>12</v>
      </c>
      <c r="D17" s="2" t="s">
        <v>88</v>
      </c>
      <c r="E17" s="2" t="s">
        <v>89</v>
      </c>
      <c r="F17" s="2" t="s">
        <v>12</v>
      </c>
      <c r="G17" s="15" t="s">
        <v>46</v>
      </c>
      <c r="H17" s="5">
        <v>3.0</v>
      </c>
      <c r="I17" s="5" t="s">
        <v>80</v>
      </c>
      <c r="J17" s="11" t="s">
        <v>90</v>
      </c>
    </row>
    <row r="18" ht="15.75" customHeight="1">
      <c r="A18" s="6">
        <v>45534.0</v>
      </c>
      <c r="B18" s="2" t="s">
        <v>12</v>
      </c>
      <c r="C18" s="2" t="s">
        <v>12</v>
      </c>
      <c r="D18" s="21" t="s">
        <v>91</v>
      </c>
      <c r="E18" s="2" t="s">
        <v>92</v>
      </c>
      <c r="F18" s="2" t="s">
        <v>12</v>
      </c>
      <c r="G18" s="3" t="s">
        <v>39</v>
      </c>
      <c r="H18" s="5">
        <v>7.0</v>
      </c>
      <c r="I18" s="5" t="s">
        <v>93</v>
      </c>
      <c r="J18" s="11" t="s">
        <v>94</v>
      </c>
    </row>
    <row r="19" ht="15.75" customHeight="1">
      <c r="A19" s="6">
        <v>45540.0</v>
      </c>
      <c r="B19" s="2" t="s">
        <v>12</v>
      </c>
      <c r="C19" s="2" t="s">
        <v>12</v>
      </c>
      <c r="D19" s="19" t="s">
        <v>95</v>
      </c>
      <c r="E19" s="2" t="s">
        <v>96</v>
      </c>
      <c r="F19" s="2" t="s">
        <v>12</v>
      </c>
      <c r="G19" s="20" t="s">
        <v>84</v>
      </c>
      <c r="H19" s="5">
        <v>6.0</v>
      </c>
      <c r="I19" s="5" t="s">
        <v>93</v>
      </c>
      <c r="J19" s="8">
        <v>45421.0</v>
      </c>
    </row>
    <row r="20" ht="15.75" customHeight="1">
      <c r="A20" s="6">
        <v>45541.0</v>
      </c>
      <c r="B20" s="2" t="s">
        <v>12</v>
      </c>
      <c r="C20" s="2" t="s">
        <v>12</v>
      </c>
      <c r="D20" s="19" t="s">
        <v>97</v>
      </c>
      <c r="E20" s="18" t="s">
        <v>22</v>
      </c>
      <c r="F20" s="2" t="s">
        <v>12</v>
      </c>
      <c r="G20" s="16" t="s">
        <v>47</v>
      </c>
      <c r="H20" s="5">
        <v>8.0</v>
      </c>
      <c r="I20" s="5" t="s">
        <v>98</v>
      </c>
      <c r="J20" s="8">
        <v>45452.0</v>
      </c>
    </row>
    <row r="21" ht="15.75" customHeight="1">
      <c r="A21" s="6">
        <v>45542.0</v>
      </c>
      <c r="B21" s="2" t="s">
        <v>12</v>
      </c>
      <c r="C21" s="2" t="s">
        <v>12</v>
      </c>
      <c r="D21" s="2" t="s">
        <v>99</v>
      </c>
      <c r="E21" s="17" t="s">
        <v>17</v>
      </c>
      <c r="F21" s="2" t="s">
        <v>12</v>
      </c>
      <c r="G21" s="16" t="s">
        <v>47</v>
      </c>
      <c r="H21" s="5">
        <v>8.0</v>
      </c>
      <c r="I21" s="5" t="s">
        <v>100</v>
      </c>
      <c r="J21" s="8">
        <v>45482.0</v>
      </c>
    </row>
    <row r="22" ht="15.75" customHeight="1">
      <c r="A22" s="6">
        <v>45546.0</v>
      </c>
      <c r="B22" s="2" t="s">
        <v>12</v>
      </c>
      <c r="C22" s="2" t="s">
        <v>12</v>
      </c>
      <c r="D22" s="21" t="s">
        <v>101</v>
      </c>
      <c r="E22" s="2" t="s">
        <v>102</v>
      </c>
      <c r="F22" s="2" t="s">
        <v>12</v>
      </c>
      <c r="G22" s="3" t="s">
        <v>39</v>
      </c>
      <c r="H22" s="5">
        <v>7.0</v>
      </c>
      <c r="I22" s="5" t="s">
        <v>100</v>
      </c>
      <c r="J22" s="11" t="s">
        <v>103</v>
      </c>
    </row>
    <row r="23" ht="15.75" customHeight="1">
      <c r="A23" s="22">
        <v>45554.0</v>
      </c>
      <c r="B23" s="5" t="s">
        <v>12</v>
      </c>
      <c r="C23" s="5" t="s">
        <v>12</v>
      </c>
      <c r="D23" s="5" t="s">
        <v>23</v>
      </c>
      <c r="E23" s="5" t="s">
        <v>104</v>
      </c>
      <c r="F23" s="5" t="s">
        <v>12</v>
      </c>
      <c r="G23" s="3" t="s">
        <v>39</v>
      </c>
      <c r="H23" s="5">
        <v>7.0</v>
      </c>
      <c r="I23" s="5" t="s">
        <v>105</v>
      </c>
      <c r="J23" s="11" t="s">
        <v>106</v>
      </c>
    </row>
    <row r="24" ht="15.75" customHeight="1">
      <c r="A24" s="6">
        <v>45555.0</v>
      </c>
      <c r="B24" s="2" t="s">
        <v>12</v>
      </c>
      <c r="C24" s="2" t="s">
        <v>12</v>
      </c>
      <c r="D24" s="23" t="s">
        <v>107</v>
      </c>
      <c r="E24" s="2" t="s">
        <v>42</v>
      </c>
      <c r="F24" s="2" t="s">
        <v>12</v>
      </c>
      <c r="G24" s="3" t="s">
        <v>66</v>
      </c>
      <c r="H24" s="5">
        <v>2.0</v>
      </c>
      <c r="I24" s="5" t="s">
        <v>100</v>
      </c>
      <c r="J24" s="11" t="s">
        <v>108</v>
      </c>
    </row>
    <row r="25" ht="15.75" customHeight="1">
      <c r="A25" s="6">
        <v>45555.0</v>
      </c>
      <c r="B25" s="2" t="s">
        <v>12</v>
      </c>
      <c r="C25" s="2" t="s">
        <v>12</v>
      </c>
      <c r="D25" s="5" t="s">
        <v>109</v>
      </c>
      <c r="E25" s="2" t="s">
        <v>35</v>
      </c>
      <c r="F25" s="2" t="s">
        <v>12</v>
      </c>
      <c r="G25" s="10" t="s">
        <v>20</v>
      </c>
      <c r="H25" s="5">
        <v>1.0</v>
      </c>
      <c r="I25" s="5" t="s">
        <v>110</v>
      </c>
      <c r="J25" s="11" t="s">
        <v>111</v>
      </c>
    </row>
    <row r="26" ht="15.75" customHeight="1">
      <c r="A26" s="6">
        <v>45558.0</v>
      </c>
      <c r="B26" s="2" t="s">
        <v>12</v>
      </c>
      <c r="C26" s="2" t="s">
        <v>12</v>
      </c>
      <c r="D26" s="24" t="s">
        <v>112</v>
      </c>
      <c r="E26" s="25" t="s">
        <v>27</v>
      </c>
      <c r="F26" s="2" t="s">
        <v>12</v>
      </c>
      <c r="G26" s="15" t="s">
        <v>46</v>
      </c>
      <c r="H26" s="5">
        <v>3.0</v>
      </c>
      <c r="I26" s="5" t="s">
        <v>113</v>
      </c>
      <c r="J26" s="11" t="s">
        <v>114</v>
      </c>
    </row>
    <row r="27" ht="15.75" customHeight="1">
      <c r="A27" s="6">
        <v>45559.0</v>
      </c>
      <c r="B27" s="2" t="s">
        <v>12</v>
      </c>
      <c r="C27" s="2" t="s">
        <v>12</v>
      </c>
      <c r="D27" s="26" t="s">
        <v>115</v>
      </c>
      <c r="E27" s="2" t="s">
        <v>116</v>
      </c>
      <c r="F27" s="2" t="s">
        <v>12</v>
      </c>
      <c r="G27" s="15" t="s">
        <v>46</v>
      </c>
      <c r="H27" s="5">
        <v>3.0</v>
      </c>
      <c r="I27" s="5" t="s">
        <v>117</v>
      </c>
      <c r="J27" s="11" t="s">
        <v>118</v>
      </c>
    </row>
    <row r="28" ht="15.75" customHeight="1">
      <c r="A28" s="6">
        <v>45566.0</v>
      </c>
      <c r="B28" s="2" t="s">
        <v>12</v>
      </c>
      <c r="C28" s="2" t="s">
        <v>12</v>
      </c>
      <c r="D28" s="27" t="s">
        <v>119</v>
      </c>
      <c r="E28" s="2" t="s">
        <v>120</v>
      </c>
      <c r="F28" s="2" t="s">
        <v>12</v>
      </c>
      <c r="G28" s="3" t="s">
        <v>66</v>
      </c>
      <c r="H28" s="5">
        <v>2.0</v>
      </c>
      <c r="I28" s="5" t="s">
        <v>80</v>
      </c>
      <c r="J28" s="11" t="s">
        <v>121</v>
      </c>
    </row>
    <row r="29" ht="15.75" customHeight="1">
      <c r="A29" s="6">
        <v>45566.0</v>
      </c>
      <c r="B29" s="2" t="s">
        <v>12</v>
      </c>
      <c r="C29" s="2" t="s">
        <v>12</v>
      </c>
      <c r="D29" s="23" t="s">
        <v>122</v>
      </c>
      <c r="E29" s="2" t="s">
        <v>123</v>
      </c>
      <c r="F29" s="2" t="s">
        <v>12</v>
      </c>
      <c r="G29" s="3" t="s">
        <v>51</v>
      </c>
      <c r="H29" s="5">
        <v>5.0</v>
      </c>
      <c r="I29" s="5" t="s">
        <v>80</v>
      </c>
      <c r="J29" s="11" t="s">
        <v>124</v>
      </c>
    </row>
    <row r="30" ht="15.75" customHeight="1">
      <c r="A30" s="6">
        <v>45570.0</v>
      </c>
      <c r="B30" s="2" t="s">
        <v>12</v>
      </c>
      <c r="C30" s="2" t="s">
        <v>12</v>
      </c>
      <c r="D30" s="5" t="s">
        <v>125</v>
      </c>
      <c r="E30" s="2" t="s">
        <v>35</v>
      </c>
      <c r="F30" s="2" t="s">
        <v>12</v>
      </c>
      <c r="G30" s="10" t="s">
        <v>20</v>
      </c>
      <c r="H30" s="5">
        <v>1.0</v>
      </c>
      <c r="I30" s="5" t="s">
        <v>98</v>
      </c>
      <c r="J30" s="8">
        <v>45422.0</v>
      </c>
    </row>
    <row r="31" ht="15.75" customHeight="1">
      <c r="A31" s="6">
        <v>45609.0</v>
      </c>
      <c r="B31" s="2" t="s">
        <v>12</v>
      </c>
      <c r="C31" s="2" t="s">
        <v>12</v>
      </c>
      <c r="D31" s="24" t="s">
        <v>126</v>
      </c>
      <c r="E31" s="17" t="s">
        <v>17</v>
      </c>
      <c r="F31" s="2" t="s">
        <v>12</v>
      </c>
      <c r="G31" s="3" t="s">
        <v>15</v>
      </c>
      <c r="H31" s="5">
        <v>4.0</v>
      </c>
      <c r="I31" s="5" t="s">
        <v>100</v>
      </c>
      <c r="J31" s="11" t="s">
        <v>127</v>
      </c>
    </row>
    <row r="32" ht="15.75" customHeight="1">
      <c r="A32" s="6">
        <v>45609.0</v>
      </c>
      <c r="B32" s="2" t="s">
        <v>12</v>
      </c>
      <c r="C32" s="2" t="s">
        <v>12</v>
      </c>
      <c r="D32" s="5" t="s">
        <v>128</v>
      </c>
      <c r="E32" s="2" t="s">
        <v>120</v>
      </c>
      <c r="F32" s="2" t="s">
        <v>12</v>
      </c>
      <c r="G32" s="3" t="s">
        <v>15</v>
      </c>
      <c r="H32" s="5">
        <v>4.0</v>
      </c>
      <c r="I32" s="5" t="s">
        <v>100</v>
      </c>
      <c r="J32" s="11" t="s">
        <v>129</v>
      </c>
    </row>
    <row r="33">
      <c r="A33" s="22">
        <v>45616.0</v>
      </c>
      <c r="B33" s="2" t="s">
        <v>12</v>
      </c>
      <c r="C33" s="2" t="s">
        <v>12</v>
      </c>
      <c r="D33" s="24" t="s">
        <v>130</v>
      </c>
      <c r="E33" s="28" t="s">
        <v>17</v>
      </c>
      <c r="F33" s="5" t="s">
        <v>12</v>
      </c>
      <c r="G33" s="15" t="s">
        <v>46</v>
      </c>
      <c r="H33" s="5">
        <v>3.0</v>
      </c>
      <c r="I33" s="5" t="s">
        <v>131</v>
      </c>
      <c r="J33" s="5" t="s">
        <v>132</v>
      </c>
    </row>
    <row r="34">
      <c r="A34" s="22">
        <v>45618.0</v>
      </c>
      <c r="B34" s="2" t="s">
        <v>12</v>
      </c>
      <c r="C34" s="2" t="s">
        <v>12</v>
      </c>
      <c r="D34" s="5" t="s">
        <v>55</v>
      </c>
      <c r="E34" s="5" t="s">
        <v>55</v>
      </c>
      <c r="F34" s="5" t="s">
        <v>12</v>
      </c>
      <c r="G34" s="3" t="s">
        <v>39</v>
      </c>
      <c r="H34" s="5">
        <v>7.0</v>
      </c>
      <c r="I34" s="5" t="s">
        <v>133</v>
      </c>
      <c r="J34" s="5" t="s">
        <v>134</v>
      </c>
    </row>
    <row r="35" ht="15.75" customHeight="1">
      <c r="A35" s="6">
        <v>45618.0</v>
      </c>
      <c r="B35" s="2" t="s">
        <v>12</v>
      </c>
      <c r="C35" s="2" t="s">
        <v>12</v>
      </c>
      <c r="D35" s="29" t="s">
        <v>135</v>
      </c>
      <c r="E35" s="17" t="s">
        <v>17</v>
      </c>
      <c r="F35" s="2" t="s">
        <v>12</v>
      </c>
      <c r="G35" s="3" t="s">
        <v>51</v>
      </c>
      <c r="H35" s="5">
        <v>5.0</v>
      </c>
      <c r="I35" s="5" t="s">
        <v>136</v>
      </c>
      <c r="J35" s="11" t="s">
        <v>137</v>
      </c>
    </row>
    <row r="36" ht="15.75" customHeight="1">
      <c r="A36" s="6">
        <v>45620.0</v>
      </c>
      <c r="B36" s="2" t="s">
        <v>12</v>
      </c>
      <c r="C36" s="2" t="s">
        <v>12</v>
      </c>
      <c r="D36" s="2" t="s">
        <v>138</v>
      </c>
      <c r="E36" s="2" t="s">
        <v>35</v>
      </c>
      <c r="F36" s="2" t="s">
        <v>12</v>
      </c>
      <c r="G36" s="16" t="s">
        <v>47</v>
      </c>
      <c r="H36" s="5">
        <v>8.0</v>
      </c>
      <c r="I36" s="5" t="s">
        <v>139</v>
      </c>
      <c r="J36" s="11" t="s">
        <v>140</v>
      </c>
    </row>
    <row r="37" ht="15.75" customHeight="1">
      <c r="A37" s="6">
        <v>45621.0</v>
      </c>
      <c r="B37" s="2" t="s">
        <v>12</v>
      </c>
      <c r="C37" s="2" t="s">
        <v>12</v>
      </c>
      <c r="D37" s="21" t="s">
        <v>101</v>
      </c>
      <c r="E37" s="2" t="s">
        <v>141</v>
      </c>
      <c r="F37" s="2" t="s">
        <v>12</v>
      </c>
      <c r="G37" s="3" t="s">
        <v>39</v>
      </c>
      <c r="H37" s="5">
        <v>7.0</v>
      </c>
      <c r="I37" s="5" t="s">
        <v>142</v>
      </c>
      <c r="J37" s="11" t="s">
        <v>143</v>
      </c>
    </row>
    <row r="38" ht="15.75" customHeight="1">
      <c r="A38" s="6">
        <v>45625.0</v>
      </c>
      <c r="B38" s="2" t="s">
        <v>12</v>
      </c>
      <c r="C38" s="2" t="s">
        <v>12</v>
      </c>
      <c r="D38" s="21" t="s">
        <v>144</v>
      </c>
      <c r="E38" s="25" t="s">
        <v>27</v>
      </c>
      <c r="F38" s="2" t="s">
        <v>12</v>
      </c>
      <c r="G38" s="16" t="s">
        <v>47</v>
      </c>
      <c r="H38" s="5">
        <v>8.0</v>
      </c>
      <c r="I38" s="5" t="s">
        <v>136</v>
      </c>
      <c r="J38" s="11" t="s">
        <v>145</v>
      </c>
    </row>
    <row r="39" ht="15.75" customHeight="1">
      <c r="A39" s="6">
        <v>45638.0</v>
      </c>
      <c r="B39" s="30">
        <v>24.0</v>
      </c>
      <c r="C39" s="30">
        <v>23.0</v>
      </c>
      <c r="D39" s="7" t="s">
        <v>146</v>
      </c>
      <c r="E39" s="25" t="s">
        <v>27</v>
      </c>
      <c r="F39" s="16" t="s">
        <v>47</v>
      </c>
      <c r="G39" s="3" t="s">
        <v>15</v>
      </c>
      <c r="H39" s="5">
        <v>4.0</v>
      </c>
      <c r="I39" s="5" t="s">
        <v>147</v>
      </c>
      <c r="J39" s="31">
        <v>45638.0</v>
      </c>
    </row>
    <row r="40" ht="15.75" customHeight="1">
      <c r="A40" s="22">
        <v>45650.0</v>
      </c>
      <c r="B40" s="2" t="s">
        <v>12</v>
      </c>
      <c r="C40" s="2" t="s">
        <v>12</v>
      </c>
      <c r="D40" s="2" t="s">
        <v>148</v>
      </c>
      <c r="E40" s="2" t="s">
        <v>149</v>
      </c>
      <c r="F40" s="2" t="s">
        <v>12</v>
      </c>
      <c r="G40" s="3" t="s">
        <v>66</v>
      </c>
      <c r="H40" s="5">
        <v>2.0</v>
      </c>
      <c r="I40" s="5" t="s">
        <v>100</v>
      </c>
      <c r="J40" s="11" t="s">
        <v>150</v>
      </c>
    </row>
    <row r="41" ht="15.75" customHeight="1">
      <c r="A41" s="22">
        <v>45658.0</v>
      </c>
      <c r="B41" s="5">
        <v>48.0</v>
      </c>
      <c r="C41" s="5">
        <v>47.0</v>
      </c>
      <c r="D41" s="2" t="s">
        <v>151</v>
      </c>
      <c r="E41" s="17" t="s">
        <v>17</v>
      </c>
      <c r="F41" s="20" t="s">
        <v>84</v>
      </c>
      <c r="G41" s="3" t="s">
        <v>51</v>
      </c>
      <c r="H41" s="5">
        <v>5.0</v>
      </c>
      <c r="I41" s="5" t="s">
        <v>152</v>
      </c>
      <c r="J41" s="11" t="s">
        <v>153</v>
      </c>
    </row>
    <row r="42" ht="15.75" customHeight="1">
      <c r="A42" s="22">
        <v>45658.0</v>
      </c>
      <c r="B42" s="2" t="s">
        <v>12</v>
      </c>
      <c r="C42" s="2" t="s">
        <v>12</v>
      </c>
      <c r="D42" s="2" t="s">
        <v>88</v>
      </c>
      <c r="E42" s="18" t="s">
        <v>22</v>
      </c>
      <c r="F42" s="2" t="s">
        <v>12</v>
      </c>
      <c r="G42" s="3" t="s">
        <v>51</v>
      </c>
      <c r="H42" s="5">
        <v>5.0</v>
      </c>
      <c r="I42" s="5" t="s">
        <v>139</v>
      </c>
      <c r="J42" s="11" t="s">
        <v>154</v>
      </c>
    </row>
    <row r="43" ht="15.75" customHeight="1">
      <c r="A43" s="22">
        <v>45662.0</v>
      </c>
      <c r="B43" s="2" t="s">
        <v>12</v>
      </c>
      <c r="C43" s="2" t="s">
        <v>12</v>
      </c>
      <c r="D43" s="19" t="s">
        <v>97</v>
      </c>
      <c r="E43" s="2" t="s">
        <v>155</v>
      </c>
      <c r="F43" s="2" t="s">
        <v>12</v>
      </c>
      <c r="G43" s="3" t="s">
        <v>51</v>
      </c>
      <c r="H43" s="5">
        <v>5.0</v>
      </c>
      <c r="I43" s="5" t="s">
        <v>113</v>
      </c>
      <c r="J43" s="11" t="s">
        <v>156</v>
      </c>
    </row>
    <row r="44" ht="15.75" customHeight="1">
      <c r="A44" s="22">
        <v>45665.0</v>
      </c>
      <c r="B44" s="2" t="s">
        <v>12</v>
      </c>
      <c r="C44" s="2" t="s">
        <v>12</v>
      </c>
      <c r="D44" s="2" t="s">
        <v>157</v>
      </c>
      <c r="E44" s="18" t="s">
        <v>22</v>
      </c>
      <c r="F44" s="2" t="s">
        <v>12</v>
      </c>
      <c r="G44" s="15" t="s">
        <v>46</v>
      </c>
      <c r="H44" s="5">
        <v>3.0</v>
      </c>
      <c r="I44" s="5" t="s">
        <v>113</v>
      </c>
      <c r="J44" s="11" t="s">
        <v>158</v>
      </c>
    </row>
    <row r="45" ht="15.75" customHeight="1">
      <c r="A45" s="22">
        <v>45666.0</v>
      </c>
      <c r="B45" s="32">
        <v>28.0</v>
      </c>
      <c r="C45" s="32">
        <v>28.0</v>
      </c>
      <c r="D45" s="33" t="s">
        <v>159</v>
      </c>
      <c r="E45" s="17" t="s">
        <v>17</v>
      </c>
      <c r="F45" s="3" t="s">
        <v>66</v>
      </c>
      <c r="G45" s="3" t="s">
        <v>51</v>
      </c>
      <c r="H45" s="5">
        <v>5.0</v>
      </c>
      <c r="I45" s="5" t="s">
        <v>131</v>
      </c>
      <c r="J45" s="11" t="s">
        <v>160</v>
      </c>
    </row>
    <row r="46" ht="15.75" customHeight="1">
      <c r="A46" s="22">
        <v>45679.0</v>
      </c>
      <c r="B46" s="3">
        <v>19.0</v>
      </c>
      <c r="C46" s="3">
        <v>20.0</v>
      </c>
      <c r="D46" s="27" t="s">
        <v>161</v>
      </c>
      <c r="E46" s="5" t="s">
        <v>42</v>
      </c>
      <c r="F46" s="16" t="s">
        <v>47</v>
      </c>
      <c r="G46" s="3" t="s">
        <v>66</v>
      </c>
      <c r="H46" s="5">
        <v>2.0</v>
      </c>
      <c r="I46" s="5" t="s">
        <v>162</v>
      </c>
      <c r="J46" s="11" t="s">
        <v>163</v>
      </c>
    </row>
    <row r="47" ht="15.75" customHeight="1">
      <c r="A47" s="22">
        <v>45687.0</v>
      </c>
      <c r="B47" s="30">
        <v>24.0</v>
      </c>
      <c r="C47" s="30">
        <v>23.0</v>
      </c>
      <c r="D47" s="2" t="s">
        <v>164</v>
      </c>
      <c r="E47" s="2" t="s">
        <v>165</v>
      </c>
      <c r="F47" s="16" t="s">
        <v>47</v>
      </c>
      <c r="G47" s="3" t="s">
        <v>15</v>
      </c>
      <c r="H47" s="5">
        <v>4.0</v>
      </c>
      <c r="I47" s="5" t="s">
        <v>162</v>
      </c>
      <c r="J47" s="11" t="s">
        <v>166</v>
      </c>
    </row>
    <row r="48" ht="15.75" customHeight="1">
      <c r="A48" s="22">
        <v>45687.0</v>
      </c>
      <c r="B48" s="5">
        <v>57.0</v>
      </c>
      <c r="C48" s="5">
        <v>58.0</v>
      </c>
      <c r="D48" s="34" t="s">
        <v>167</v>
      </c>
      <c r="E48" s="2" t="s">
        <v>168</v>
      </c>
      <c r="F48" s="3" t="s">
        <v>51</v>
      </c>
      <c r="G48" s="3" t="s">
        <v>51</v>
      </c>
      <c r="H48" s="5">
        <v>5.0</v>
      </c>
      <c r="I48" s="5" t="s">
        <v>113</v>
      </c>
      <c r="J48" s="11" t="s">
        <v>169</v>
      </c>
    </row>
    <row r="49" ht="15.75" customHeight="1">
      <c r="A49" s="22">
        <v>45694.0</v>
      </c>
      <c r="B49" s="2">
        <v>9.0</v>
      </c>
      <c r="C49" s="2">
        <v>10.0</v>
      </c>
      <c r="D49" s="2" t="s">
        <v>170</v>
      </c>
      <c r="E49" s="2" t="s">
        <v>171</v>
      </c>
      <c r="F49" s="3" t="s">
        <v>51</v>
      </c>
      <c r="G49" s="10" t="s">
        <v>20</v>
      </c>
      <c r="H49" s="5">
        <v>1.0</v>
      </c>
      <c r="I49" s="5" t="s">
        <v>113</v>
      </c>
      <c r="J49" s="11" t="s">
        <v>172</v>
      </c>
    </row>
    <row r="50" ht="15.75" customHeight="1">
      <c r="A50" s="35">
        <v>45694.0</v>
      </c>
      <c r="B50" s="36" t="s">
        <v>12</v>
      </c>
      <c r="C50" s="36" t="s">
        <v>12</v>
      </c>
      <c r="D50" s="36" t="s">
        <v>173</v>
      </c>
      <c r="E50" s="36" t="s">
        <v>12</v>
      </c>
      <c r="F50" s="37" t="s">
        <v>66</v>
      </c>
      <c r="G50" s="36" t="s">
        <v>12</v>
      </c>
      <c r="H50" s="38" t="s">
        <v>12</v>
      </c>
      <c r="I50" s="38" t="s">
        <v>174</v>
      </c>
      <c r="J50" s="39" t="s">
        <v>175</v>
      </c>
    </row>
    <row r="51" ht="15.75" customHeight="1">
      <c r="A51" s="40">
        <v>45694.0</v>
      </c>
      <c r="B51" s="41" t="s">
        <v>12</v>
      </c>
      <c r="C51" s="41" t="s">
        <v>12</v>
      </c>
      <c r="D51" s="42" t="s">
        <v>176</v>
      </c>
      <c r="E51" s="41" t="s">
        <v>12</v>
      </c>
      <c r="F51" s="43" t="s">
        <v>51</v>
      </c>
      <c r="G51" s="41" t="s">
        <v>12</v>
      </c>
      <c r="H51" s="44" t="s">
        <v>12</v>
      </c>
      <c r="I51" s="44" t="s">
        <v>177</v>
      </c>
      <c r="J51" s="45" t="s">
        <v>175</v>
      </c>
    </row>
    <row r="52" ht="15.75" customHeight="1">
      <c r="A52" s="22">
        <v>45705.0</v>
      </c>
      <c r="B52" s="14">
        <v>35.0</v>
      </c>
      <c r="C52" s="14">
        <v>36.0</v>
      </c>
      <c r="D52" s="2" t="s">
        <v>178</v>
      </c>
      <c r="E52" s="17" t="s">
        <v>17</v>
      </c>
      <c r="F52" s="15" t="s">
        <v>46</v>
      </c>
      <c r="G52" s="16" t="s">
        <v>47</v>
      </c>
      <c r="H52" s="5">
        <v>8.0</v>
      </c>
      <c r="J52" s="11" t="s">
        <v>179</v>
      </c>
    </row>
    <row r="53" ht="15.75" customHeight="1">
      <c r="A53" s="1">
        <v>45706.0</v>
      </c>
      <c r="B53" s="46">
        <v>31.0</v>
      </c>
      <c r="C53" s="46">
        <v>32.0</v>
      </c>
      <c r="D53" s="47" t="s">
        <v>112</v>
      </c>
      <c r="E53" s="48" t="s">
        <v>22</v>
      </c>
      <c r="F53" s="3" t="s">
        <v>66</v>
      </c>
      <c r="G53" s="3" t="s">
        <v>39</v>
      </c>
      <c r="H53" s="5">
        <v>7.0</v>
      </c>
      <c r="J53" s="4" t="s">
        <v>180</v>
      </c>
    </row>
    <row r="54" ht="15.75" customHeight="1">
      <c r="A54" s="1">
        <v>45716.0</v>
      </c>
      <c r="B54" s="3">
        <v>11.0</v>
      </c>
      <c r="C54" s="3">
        <v>12.0</v>
      </c>
      <c r="D54" s="49" t="s">
        <v>181</v>
      </c>
      <c r="E54" s="3" t="s">
        <v>35</v>
      </c>
      <c r="F54" s="16" t="s">
        <v>47</v>
      </c>
      <c r="G54" s="10" t="s">
        <v>20</v>
      </c>
      <c r="H54" s="5">
        <v>1.0</v>
      </c>
      <c r="J54" s="4" t="s">
        <v>182</v>
      </c>
    </row>
    <row r="55" ht="15.75" customHeight="1">
      <c r="A55" s="1">
        <v>45719.0</v>
      </c>
      <c r="B55" s="49">
        <v>30.0</v>
      </c>
      <c r="C55" s="49">
        <v>30.0</v>
      </c>
      <c r="D55" s="3" t="s">
        <v>183</v>
      </c>
      <c r="E55" s="3" t="s">
        <v>184</v>
      </c>
      <c r="F55" s="15" t="s">
        <v>46</v>
      </c>
      <c r="G55" s="15" t="s">
        <v>46</v>
      </c>
      <c r="H55" s="2">
        <v>3.0</v>
      </c>
      <c r="I55" s="3" t="s">
        <v>185</v>
      </c>
      <c r="J55" s="4" t="s">
        <v>186</v>
      </c>
    </row>
    <row r="56" ht="15.75" customHeight="1">
      <c r="A56" s="1">
        <v>45723.0</v>
      </c>
      <c r="B56" s="3">
        <v>63.0</v>
      </c>
      <c r="C56" s="3">
        <v>64.0</v>
      </c>
      <c r="D56" s="3" t="s">
        <v>187</v>
      </c>
      <c r="E56" s="3" t="s">
        <v>188</v>
      </c>
      <c r="F56" s="20" t="s">
        <v>84</v>
      </c>
      <c r="G56" s="15" t="s">
        <v>46</v>
      </c>
      <c r="H56" s="5">
        <v>3.0</v>
      </c>
      <c r="J56" s="50">
        <v>45841.0</v>
      </c>
    </row>
    <row r="57" ht="15.75" customHeight="1">
      <c r="A57" s="51">
        <v>45728.0</v>
      </c>
      <c r="B57" s="37">
        <v>50.0</v>
      </c>
      <c r="C57" s="37">
        <v>49.0</v>
      </c>
      <c r="D57" s="37" t="s">
        <v>189</v>
      </c>
      <c r="E57" s="37" t="s">
        <v>190</v>
      </c>
      <c r="F57" s="37" t="s">
        <v>39</v>
      </c>
      <c r="G57" s="37" t="s">
        <v>51</v>
      </c>
      <c r="H57" s="36">
        <v>5.0</v>
      </c>
      <c r="I57" s="37" t="s">
        <v>185</v>
      </c>
      <c r="J57" s="52" t="s">
        <v>191</v>
      </c>
    </row>
    <row r="58" ht="15.75" customHeight="1">
      <c r="A58" s="53">
        <v>45728.0</v>
      </c>
      <c r="B58" s="54">
        <v>44.0</v>
      </c>
      <c r="C58" s="54">
        <v>43.0</v>
      </c>
      <c r="D58" s="43" t="s">
        <v>192</v>
      </c>
      <c r="E58" s="43" t="s">
        <v>190</v>
      </c>
      <c r="F58" s="55" t="s">
        <v>20</v>
      </c>
      <c r="G58" s="43" t="s">
        <v>51</v>
      </c>
      <c r="H58" s="41">
        <v>5.0</v>
      </c>
      <c r="I58" s="43" t="s">
        <v>193</v>
      </c>
      <c r="J58" s="56" t="s">
        <v>194</v>
      </c>
    </row>
    <row r="59" ht="15.75" customHeight="1">
      <c r="A59" s="1">
        <v>45739.0</v>
      </c>
      <c r="B59" s="3">
        <v>51.0</v>
      </c>
      <c r="C59" s="3">
        <v>52.0</v>
      </c>
      <c r="D59" s="3" t="s">
        <v>195</v>
      </c>
      <c r="E59" s="3" t="s">
        <v>102</v>
      </c>
      <c r="F59" s="3" t="s">
        <v>15</v>
      </c>
      <c r="G59" s="3" t="s">
        <v>15</v>
      </c>
      <c r="H59" s="5">
        <v>4.0</v>
      </c>
      <c r="J59" s="4" t="s">
        <v>196</v>
      </c>
    </row>
    <row r="60" ht="15.75" customHeight="1">
      <c r="A60" s="6">
        <v>45745.0</v>
      </c>
      <c r="B60" s="3">
        <v>14.0</v>
      </c>
      <c r="C60" s="3">
        <v>13.0</v>
      </c>
      <c r="D60" s="57" t="s">
        <v>82</v>
      </c>
      <c r="E60" s="3" t="s">
        <v>155</v>
      </c>
      <c r="F60" s="15" t="s">
        <v>46</v>
      </c>
      <c r="G60" s="10" t="s">
        <v>20</v>
      </c>
      <c r="H60" s="5">
        <v>1.0</v>
      </c>
      <c r="J60" s="11" t="s">
        <v>197</v>
      </c>
    </row>
    <row r="61" ht="15.75" customHeight="1">
      <c r="A61" s="1">
        <v>45751.0</v>
      </c>
      <c r="B61" s="30">
        <v>24.0</v>
      </c>
      <c r="C61" s="30">
        <v>23.0</v>
      </c>
      <c r="D61" s="3" t="s">
        <v>198</v>
      </c>
      <c r="E61" s="3" t="s">
        <v>83</v>
      </c>
      <c r="F61" s="16" t="s">
        <v>47</v>
      </c>
      <c r="G61" s="3" t="s">
        <v>15</v>
      </c>
      <c r="H61" s="5">
        <v>4.0</v>
      </c>
      <c r="J61" s="50">
        <v>45751.0</v>
      </c>
    </row>
    <row r="62" ht="15.75" customHeight="1">
      <c r="A62" s="1">
        <v>45758.0</v>
      </c>
      <c r="B62" s="58">
        <v>61.0</v>
      </c>
      <c r="C62" s="58">
        <v>61.0</v>
      </c>
      <c r="D62" s="3" t="s">
        <v>199</v>
      </c>
      <c r="E62" s="3" t="s">
        <v>200</v>
      </c>
      <c r="F62" s="3" t="s">
        <v>51</v>
      </c>
      <c r="G62" s="3" t="s">
        <v>66</v>
      </c>
      <c r="H62" s="5">
        <v>2.0</v>
      </c>
      <c r="I62" s="5" t="s">
        <v>113</v>
      </c>
      <c r="J62" s="4" t="s">
        <v>201</v>
      </c>
    </row>
    <row r="63" ht="15.75" customHeight="1">
      <c r="A63" s="1">
        <v>45760.0</v>
      </c>
      <c r="B63" s="58">
        <v>61.0</v>
      </c>
      <c r="C63" s="58">
        <v>61.0</v>
      </c>
      <c r="D63" s="59" t="s">
        <v>202</v>
      </c>
      <c r="E63" s="48" t="s">
        <v>22</v>
      </c>
      <c r="F63" s="3" t="s">
        <v>51</v>
      </c>
      <c r="G63" s="3" t="s">
        <v>66</v>
      </c>
      <c r="H63" s="2">
        <v>2.0</v>
      </c>
      <c r="I63" s="2" t="s">
        <v>203</v>
      </c>
      <c r="J63" s="11" t="s">
        <v>204</v>
      </c>
    </row>
    <row r="64" ht="15.75" customHeight="1">
      <c r="A64" s="1">
        <v>45765.0</v>
      </c>
      <c r="B64" s="60">
        <v>36.0</v>
      </c>
      <c r="C64" s="60">
        <v>35.0</v>
      </c>
      <c r="D64" s="3" t="s">
        <v>205</v>
      </c>
      <c r="E64" s="3" t="s">
        <v>206</v>
      </c>
      <c r="F64" s="16" t="s">
        <v>47</v>
      </c>
      <c r="G64" s="15" t="s">
        <v>46</v>
      </c>
      <c r="H64" s="5">
        <v>3.0</v>
      </c>
      <c r="J64" s="4" t="s">
        <v>207</v>
      </c>
    </row>
    <row r="65" ht="15.75" customHeight="1">
      <c r="A65" s="1">
        <v>45773.0</v>
      </c>
      <c r="B65" s="3">
        <v>59.0</v>
      </c>
      <c r="C65" s="3">
        <v>60.0</v>
      </c>
      <c r="D65" s="3" t="s">
        <v>195</v>
      </c>
      <c r="E65" s="48" t="s">
        <v>22</v>
      </c>
      <c r="F65" s="3" t="s">
        <v>51</v>
      </c>
      <c r="G65" s="20" t="s">
        <v>84</v>
      </c>
      <c r="H65" s="5">
        <v>6.0</v>
      </c>
      <c r="J65" s="4" t="s">
        <v>208</v>
      </c>
    </row>
    <row r="66" ht="15.75" customHeight="1">
      <c r="A66" s="1">
        <v>45779.0</v>
      </c>
      <c r="B66" s="10">
        <v>43.0</v>
      </c>
      <c r="C66" s="10">
        <v>44.0</v>
      </c>
      <c r="D66" s="57" t="s">
        <v>209</v>
      </c>
      <c r="E66" s="3" t="s">
        <v>210</v>
      </c>
      <c r="F66" s="3" t="s">
        <v>66</v>
      </c>
      <c r="G66" s="10" t="s">
        <v>20</v>
      </c>
      <c r="H66" s="5">
        <v>1.0</v>
      </c>
      <c r="J66" s="50">
        <v>45693.0</v>
      </c>
    </row>
    <row r="67" ht="15.75" customHeight="1">
      <c r="A67" s="1">
        <v>45787.0</v>
      </c>
      <c r="B67" s="3">
        <v>4.0</v>
      </c>
      <c r="C67" s="3">
        <v>3.0</v>
      </c>
      <c r="D67" s="61" t="s">
        <v>211</v>
      </c>
      <c r="E67" s="3" t="s">
        <v>212</v>
      </c>
      <c r="F67" s="3" t="s">
        <v>39</v>
      </c>
      <c r="G67" s="20" t="s">
        <v>84</v>
      </c>
      <c r="H67" s="5">
        <v>6.0</v>
      </c>
      <c r="J67" s="50">
        <v>45935.0</v>
      </c>
    </row>
    <row r="68" ht="15.75" customHeight="1">
      <c r="A68" s="1">
        <v>45794.0</v>
      </c>
      <c r="B68" s="62">
        <v>58.0</v>
      </c>
      <c r="C68" s="62">
        <v>57.0</v>
      </c>
      <c r="D68" s="3" t="s">
        <v>64</v>
      </c>
      <c r="E68" s="3" t="s">
        <v>213</v>
      </c>
      <c r="F68" s="3" t="s">
        <v>66</v>
      </c>
      <c r="G68" s="3" t="s">
        <v>66</v>
      </c>
      <c r="H68" s="5">
        <v>2.0</v>
      </c>
      <c r="J68" s="4" t="s">
        <v>214</v>
      </c>
    </row>
    <row r="69" ht="15.75" customHeight="1">
      <c r="A69" s="1">
        <v>45800.0</v>
      </c>
      <c r="B69" s="3">
        <v>19.0</v>
      </c>
      <c r="C69" s="3">
        <v>20.0</v>
      </c>
      <c r="D69" s="3" t="s">
        <v>215</v>
      </c>
      <c r="E69" s="3" t="s">
        <v>42</v>
      </c>
      <c r="F69" s="16" t="s">
        <v>47</v>
      </c>
      <c r="G69" s="3" t="s">
        <v>66</v>
      </c>
      <c r="H69" s="5">
        <v>2.0</v>
      </c>
      <c r="J69" s="4" t="s">
        <v>216</v>
      </c>
    </row>
    <row r="70" ht="15.75" customHeight="1">
      <c r="A70" s="1">
        <v>45807.0</v>
      </c>
      <c r="B70" s="61">
        <v>29.0</v>
      </c>
      <c r="C70" s="61">
        <v>29.0</v>
      </c>
      <c r="D70" s="30" t="s">
        <v>217</v>
      </c>
      <c r="E70" s="3" t="s">
        <v>218</v>
      </c>
      <c r="F70" s="20" t="s">
        <v>84</v>
      </c>
      <c r="G70" s="20" t="s">
        <v>84</v>
      </c>
      <c r="H70" s="5">
        <v>6.0</v>
      </c>
      <c r="J70" s="4" t="s">
        <v>219</v>
      </c>
    </row>
    <row r="71" ht="15.75" customHeight="1">
      <c r="A71" s="1">
        <v>45811.0</v>
      </c>
      <c r="B71" s="3">
        <v>8.0</v>
      </c>
      <c r="C71" s="3">
        <v>7.0</v>
      </c>
      <c r="D71" s="63" t="s">
        <v>220</v>
      </c>
      <c r="E71" s="48" t="s">
        <v>22</v>
      </c>
      <c r="F71" s="20" t="s">
        <v>84</v>
      </c>
      <c r="G71" s="16" t="s">
        <v>47</v>
      </c>
      <c r="H71" s="5">
        <v>8.0</v>
      </c>
      <c r="J71" s="4" t="s">
        <v>221</v>
      </c>
    </row>
    <row r="72" ht="15.75" customHeight="1">
      <c r="A72" s="1">
        <v>45814.0</v>
      </c>
      <c r="B72" s="3">
        <v>15.0</v>
      </c>
      <c r="C72" s="3">
        <v>16.0</v>
      </c>
      <c r="D72" s="3" t="s">
        <v>18</v>
      </c>
      <c r="E72" s="3" t="s">
        <v>206</v>
      </c>
      <c r="F72" s="16" t="s">
        <v>47</v>
      </c>
      <c r="G72" s="3" t="s">
        <v>39</v>
      </c>
      <c r="H72" s="5">
        <v>7.0</v>
      </c>
      <c r="J72" s="50">
        <v>45814.0</v>
      </c>
    </row>
    <row r="73" ht="15.75" customHeight="1">
      <c r="A73" s="1">
        <v>45821.0</v>
      </c>
      <c r="B73" s="64">
        <v>44.0</v>
      </c>
      <c r="C73" s="64">
        <v>43.0</v>
      </c>
      <c r="D73" s="61" t="s">
        <v>222</v>
      </c>
      <c r="E73" s="3" t="s">
        <v>50</v>
      </c>
      <c r="F73" s="10" t="s">
        <v>20</v>
      </c>
      <c r="G73" s="3" t="s">
        <v>51</v>
      </c>
      <c r="H73" s="2">
        <v>5.0</v>
      </c>
      <c r="I73" s="3" t="s">
        <v>223</v>
      </c>
      <c r="J73" s="4" t="s">
        <v>224</v>
      </c>
    </row>
    <row r="74" ht="15.75" customHeight="1">
      <c r="A74" s="1">
        <v>45828.0</v>
      </c>
      <c r="B74" s="3">
        <v>40.0</v>
      </c>
      <c r="C74" s="3">
        <v>39.0</v>
      </c>
      <c r="D74" s="63" t="s">
        <v>225</v>
      </c>
      <c r="E74" s="3" t="s">
        <v>226</v>
      </c>
      <c r="F74" s="3" t="s">
        <v>15</v>
      </c>
      <c r="G74" s="20" t="s">
        <v>84</v>
      </c>
      <c r="H74" s="5">
        <v>6.0</v>
      </c>
      <c r="J74" s="4" t="s">
        <v>227</v>
      </c>
    </row>
    <row r="75" ht="15.75" customHeight="1">
      <c r="A75" s="1">
        <v>45835.0</v>
      </c>
      <c r="B75" s="3">
        <v>38.0</v>
      </c>
      <c r="C75" s="3">
        <v>37.0</v>
      </c>
      <c r="D75" s="61" t="s">
        <v>211</v>
      </c>
      <c r="E75" s="3" t="s">
        <v>199</v>
      </c>
      <c r="F75" s="15" t="s">
        <v>46</v>
      </c>
      <c r="G75" s="3" t="s">
        <v>66</v>
      </c>
      <c r="H75" s="2">
        <v>2.0</v>
      </c>
      <c r="I75" s="3" t="s">
        <v>228</v>
      </c>
      <c r="J75" s="4" t="s">
        <v>229</v>
      </c>
    </row>
    <row r="76" ht="15.75" customHeight="1">
      <c r="A76" s="65">
        <v>45842.0</v>
      </c>
      <c r="B76" s="38">
        <v>6.0</v>
      </c>
      <c r="C76" s="38">
        <v>5.0</v>
      </c>
      <c r="D76" s="38" t="s">
        <v>230</v>
      </c>
      <c r="E76" s="66" t="s">
        <v>22</v>
      </c>
      <c r="F76" s="67" t="s">
        <v>20</v>
      </c>
      <c r="G76" s="68" t="s">
        <v>84</v>
      </c>
      <c r="H76" s="38">
        <v>6.0</v>
      </c>
      <c r="I76" s="69"/>
      <c r="J76" s="39" t="s">
        <v>231</v>
      </c>
    </row>
    <row r="77" ht="15.75" customHeight="1">
      <c r="A77" s="70">
        <v>45842.0</v>
      </c>
      <c r="B77" s="44">
        <v>6.0</v>
      </c>
      <c r="C77" s="44">
        <v>5.0</v>
      </c>
      <c r="D77" s="44" t="s">
        <v>199</v>
      </c>
      <c r="E77" s="71" t="s">
        <v>22</v>
      </c>
      <c r="F77" s="72" t="s">
        <v>20</v>
      </c>
      <c r="G77" s="73" t="s">
        <v>84</v>
      </c>
      <c r="H77" s="41">
        <v>6.0</v>
      </c>
      <c r="I77" s="41" t="s">
        <v>232</v>
      </c>
      <c r="J77" s="45" t="s">
        <v>233</v>
      </c>
    </row>
    <row r="78" ht="15.75" customHeight="1">
      <c r="A78" s="6">
        <v>45844.0</v>
      </c>
      <c r="B78" s="27">
        <v>29.0</v>
      </c>
      <c r="C78" s="27">
        <v>29.0</v>
      </c>
      <c r="D78" s="5" t="s">
        <v>234</v>
      </c>
      <c r="E78" s="5" t="s">
        <v>235</v>
      </c>
      <c r="F78" s="20" t="s">
        <v>84</v>
      </c>
      <c r="G78" s="20" t="s">
        <v>84</v>
      </c>
      <c r="H78" s="2">
        <v>6.0</v>
      </c>
      <c r="I78" s="3" t="s">
        <v>228</v>
      </c>
      <c r="J78" s="11" t="s">
        <v>236</v>
      </c>
    </row>
    <row r="79" ht="15.75" customHeight="1">
      <c r="A79" s="6">
        <v>45849.0</v>
      </c>
      <c r="B79" s="74">
        <v>57.0</v>
      </c>
      <c r="C79" s="74">
        <v>58.0</v>
      </c>
      <c r="D79" s="23" t="s">
        <v>237</v>
      </c>
      <c r="E79" s="5" t="s">
        <v>55</v>
      </c>
      <c r="F79" s="3" t="s">
        <v>51</v>
      </c>
      <c r="G79" s="3" t="s">
        <v>51</v>
      </c>
      <c r="H79" s="2">
        <v>5.0</v>
      </c>
      <c r="I79" s="3"/>
      <c r="J79" s="8">
        <v>45968.0</v>
      </c>
    </row>
    <row r="80" ht="15.75" customHeight="1">
      <c r="A80" s="6">
        <v>45856.0</v>
      </c>
      <c r="B80" s="75">
        <v>28.0</v>
      </c>
      <c r="C80" s="75">
        <v>28.0</v>
      </c>
      <c r="D80" s="24" t="s">
        <v>238</v>
      </c>
      <c r="E80" s="5" t="s">
        <v>239</v>
      </c>
      <c r="F80" s="3" t="s">
        <v>66</v>
      </c>
      <c r="G80" s="3" t="s">
        <v>51</v>
      </c>
      <c r="H80" s="5">
        <v>5.0</v>
      </c>
      <c r="J80" s="11" t="s">
        <v>240</v>
      </c>
    </row>
    <row r="81" ht="15.75" customHeight="1">
      <c r="A81" s="6">
        <v>45856.0</v>
      </c>
      <c r="B81" s="5">
        <v>12.0</v>
      </c>
      <c r="C81" s="5">
        <v>11.0</v>
      </c>
      <c r="D81" s="23" t="s">
        <v>241</v>
      </c>
      <c r="E81" s="5" t="s">
        <v>242</v>
      </c>
      <c r="F81" s="10" t="s">
        <v>20</v>
      </c>
      <c r="G81" s="16" t="s">
        <v>47</v>
      </c>
      <c r="H81" s="5">
        <v>8.0</v>
      </c>
      <c r="J81" s="11" t="s">
        <v>243</v>
      </c>
    </row>
    <row r="82" ht="15.75" customHeight="1">
      <c r="A82" s="6">
        <v>45863.0</v>
      </c>
      <c r="B82" s="76">
        <v>53.0</v>
      </c>
      <c r="C82" s="76">
        <v>54.0</v>
      </c>
      <c r="D82" s="5" t="s">
        <v>189</v>
      </c>
      <c r="E82" s="5" t="s">
        <v>244</v>
      </c>
      <c r="F82" s="3" t="s">
        <v>51</v>
      </c>
      <c r="G82" s="3" t="s">
        <v>39</v>
      </c>
      <c r="H82" s="5">
        <v>7.0</v>
      </c>
      <c r="J82" s="11" t="s">
        <v>245</v>
      </c>
    </row>
    <row r="83" ht="15.75" customHeight="1">
      <c r="A83" s="6">
        <v>45870.0</v>
      </c>
      <c r="B83" s="5">
        <v>3.0</v>
      </c>
      <c r="C83" s="5">
        <v>4.0</v>
      </c>
      <c r="D83" s="5" t="s">
        <v>246</v>
      </c>
      <c r="E83" s="5" t="s">
        <v>35</v>
      </c>
      <c r="F83" s="20" t="s">
        <v>84</v>
      </c>
      <c r="G83" s="3" t="s">
        <v>15</v>
      </c>
      <c r="H83" s="5">
        <v>4.0</v>
      </c>
      <c r="J83" s="8">
        <v>45665.0</v>
      </c>
    </row>
    <row r="84" ht="15.75" customHeight="1">
      <c r="A84" s="6">
        <v>45877.0</v>
      </c>
      <c r="B84" s="77">
        <v>43.0</v>
      </c>
      <c r="C84" s="77">
        <v>44.0</v>
      </c>
      <c r="D84" s="5" t="s">
        <v>218</v>
      </c>
      <c r="E84" s="5" t="s">
        <v>200</v>
      </c>
      <c r="F84" s="3" t="s">
        <v>66</v>
      </c>
      <c r="G84" s="10" t="s">
        <v>20</v>
      </c>
      <c r="H84" s="5">
        <v>1.0</v>
      </c>
      <c r="J84" s="8">
        <v>45877.0</v>
      </c>
    </row>
    <row r="85" ht="15.75" customHeight="1">
      <c r="A85" s="6">
        <v>45884.0</v>
      </c>
      <c r="B85" s="78">
        <v>58.0</v>
      </c>
      <c r="C85" s="78">
        <v>57.0</v>
      </c>
      <c r="D85" s="23" t="s">
        <v>247</v>
      </c>
      <c r="E85" s="5" t="s">
        <v>187</v>
      </c>
      <c r="F85" s="3" t="s">
        <v>66</v>
      </c>
      <c r="G85" s="3" t="s">
        <v>66</v>
      </c>
      <c r="H85" s="5">
        <v>2.0</v>
      </c>
      <c r="I85" s="5" t="s">
        <v>248</v>
      </c>
      <c r="J85" s="11" t="s">
        <v>249</v>
      </c>
    </row>
    <row r="86" ht="15.75" customHeight="1">
      <c r="A86" s="6">
        <v>45891.0</v>
      </c>
      <c r="B86" s="79">
        <v>30.0</v>
      </c>
      <c r="C86" s="79">
        <v>30.0</v>
      </c>
      <c r="D86" s="5" t="s">
        <v>250</v>
      </c>
      <c r="E86" s="5" t="s">
        <v>251</v>
      </c>
      <c r="F86" s="15" t="s">
        <v>46</v>
      </c>
      <c r="G86" s="15" t="s">
        <v>46</v>
      </c>
      <c r="H86" s="5">
        <v>3.0</v>
      </c>
      <c r="I86" s="5" t="s">
        <v>252</v>
      </c>
      <c r="J86" s="11" t="s">
        <v>253</v>
      </c>
    </row>
    <row r="87" ht="15.75" customHeight="1">
      <c r="A87" s="6">
        <v>45898.0</v>
      </c>
      <c r="B87" s="80">
        <v>48.0</v>
      </c>
      <c r="C87" s="80">
        <v>47.0</v>
      </c>
      <c r="D87" s="5" t="s">
        <v>254</v>
      </c>
      <c r="E87" s="5" t="s">
        <v>96</v>
      </c>
      <c r="F87" s="20" t="s">
        <v>84</v>
      </c>
      <c r="G87" s="3" t="s">
        <v>51</v>
      </c>
      <c r="H87" s="5">
        <v>5.0</v>
      </c>
      <c r="J87" s="11" t="s">
        <v>255</v>
      </c>
    </row>
    <row r="88" ht="15.75" customHeight="1">
      <c r="A88" s="6">
        <v>45905.0</v>
      </c>
      <c r="B88" s="74">
        <v>57.0</v>
      </c>
      <c r="C88" s="74">
        <v>58.0</v>
      </c>
      <c r="D88" s="5" t="s">
        <v>157</v>
      </c>
      <c r="E88" s="5" t="s">
        <v>256</v>
      </c>
      <c r="F88" s="3" t="s">
        <v>51</v>
      </c>
      <c r="G88" s="3" t="s">
        <v>51</v>
      </c>
      <c r="H88" s="5">
        <v>5.0</v>
      </c>
      <c r="I88" s="5" t="s">
        <v>248</v>
      </c>
      <c r="J88" s="8">
        <v>45786.0</v>
      </c>
    </row>
    <row r="89" ht="15.75" customHeight="1">
      <c r="A89" s="6">
        <v>45912.0</v>
      </c>
      <c r="B89" s="5">
        <v>38.0</v>
      </c>
      <c r="C89" s="5">
        <v>37.0</v>
      </c>
      <c r="D89" s="5" t="s">
        <v>257</v>
      </c>
      <c r="E89" s="5" t="s">
        <v>258</v>
      </c>
      <c r="F89" s="15" t="s">
        <v>46</v>
      </c>
      <c r="G89" s="3" t="s">
        <v>66</v>
      </c>
      <c r="H89" s="5">
        <v>2.0</v>
      </c>
      <c r="J89" s="8">
        <v>46000.0</v>
      </c>
      <c r="L89" s="5" t="s">
        <v>259</v>
      </c>
      <c r="O89" s="5" t="s">
        <v>260</v>
      </c>
      <c r="R89" s="5" t="s">
        <v>261</v>
      </c>
    </row>
    <row r="90" ht="15.75" customHeight="1">
      <c r="A90" s="6">
        <v>45919.0</v>
      </c>
      <c r="B90" s="81">
        <v>34.0</v>
      </c>
      <c r="C90" s="81">
        <v>33.0</v>
      </c>
      <c r="D90" s="81" t="s">
        <v>262</v>
      </c>
      <c r="E90" s="5" t="s">
        <v>263</v>
      </c>
      <c r="F90" s="3" t="s">
        <v>15</v>
      </c>
      <c r="G90" s="10" t="s">
        <v>20</v>
      </c>
      <c r="H90" s="5">
        <v>1.0</v>
      </c>
      <c r="J90" s="11" t="s">
        <v>264</v>
      </c>
      <c r="L90" s="5" t="s">
        <v>265</v>
      </c>
      <c r="M90" s="5">
        <v>7.0</v>
      </c>
      <c r="O90" s="5" t="s">
        <v>266</v>
      </c>
      <c r="P90" s="9">
        <f>COUNTIF(H2:H120, 1)</f>
        <v>16</v>
      </c>
      <c r="R90" s="5">
        <v>10.0</v>
      </c>
      <c r="S90" s="11" t="s">
        <v>267</v>
      </c>
    </row>
    <row r="91" ht="15.75" customHeight="1">
      <c r="A91" s="6">
        <v>45927.0</v>
      </c>
      <c r="B91" s="3">
        <v>14.0</v>
      </c>
      <c r="C91" s="3">
        <v>13.0</v>
      </c>
      <c r="D91" s="5" t="s">
        <v>268</v>
      </c>
      <c r="E91" s="5" t="s">
        <v>269</v>
      </c>
      <c r="F91" s="15" t="s">
        <v>46</v>
      </c>
      <c r="G91" s="10" t="s">
        <v>20</v>
      </c>
      <c r="H91" s="5">
        <v>1.0</v>
      </c>
      <c r="J91" s="11" t="s">
        <v>270</v>
      </c>
      <c r="L91" s="5" t="s">
        <v>271</v>
      </c>
      <c r="M91" s="5">
        <v>9.0</v>
      </c>
      <c r="O91" s="5" t="s">
        <v>272</v>
      </c>
      <c r="P91" s="9">
        <f>COUNTIF(H2:H120, 8)</f>
        <v>9</v>
      </c>
      <c r="R91" s="5">
        <v>16.0</v>
      </c>
      <c r="S91" s="5" t="s">
        <v>273</v>
      </c>
    </row>
    <row r="92" ht="15.75" customHeight="1">
      <c r="A92" s="6">
        <v>45934.0</v>
      </c>
      <c r="B92" s="82">
        <v>1.0</v>
      </c>
      <c r="C92" s="82">
        <v>1.0</v>
      </c>
      <c r="D92" s="5" t="s">
        <v>274</v>
      </c>
      <c r="E92" s="5" t="s">
        <v>120</v>
      </c>
      <c r="F92" s="10" t="s">
        <v>20</v>
      </c>
      <c r="G92" s="10" t="s">
        <v>20</v>
      </c>
      <c r="H92" s="5">
        <v>1.0</v>
      </c>
      <c r="I92" s="5" t="s">
        <v>275</v>
      </c>
      <c r="J92" s="8">
        <v>45757.0</v>
      </c>
      <c r="L92" s="5" t="s">
        <v>276</v>
      </c>
      <c r="M92" s="5">
        <v>5.0</v>
      </c>
      <c r="O92" s="5" t="s">
        <v>277</v>
      </c>
      <c r="P92" s="9">
        <f>COUNTIF(H2:H120, 3)</f>
        <v>17</v>
      </c>
    </row>
    <row r="93" ht="15.75" customHeight="1">
      <c r="A93" s="6">
        <v>45940.0</v>
      </c>
      <c r="B93" s="79">
        <v>30.0</v>
      </c>
      <c r="C93" s="79">
        <v>30.0</v>
      </c>
      <c r="D93" s="5" t="s">
        <v>278</v>
      </c>
      <c r="E93" s="5" t="s">
        <v>279</v>
      </c>
      <c r="F93" s="15" t="s">
        <v>46</v>
      </c>
      <c r="G93" s="15" t="s">
        <v>46</v>
      </c>
      <c r="H93" s="5">
        <v>3.0</v>
      </c>
      <c r="I93" s="5" t="s">
        <v>280</v>
      </c>
      <c r="J93" s="31">
        <v>45940.0</v>
      </c>
      <c r="L93" s="5" t="s">
        <v>281</v>
      </c>
      <c r="M93" s="5">
        <v>13.0</v>
      </c>
      <c r="O93" s="5" t="s">
        <v>282</v>
      </c>
      <c r="P93" s="9">
        <f>COUNTIF(H2:H120, 6)</f>
        <v>12</v>
      </c>
    </row>
    <row r="94" ht="15.75" customHeight="1">
      <c r="A94" s="6">
        <v>45947.0</v>
      </c>
      <c r="B94" s="79">
        <v>30.0</v>
      </c>
      <c r="C94" s="79">
        <v>30.0</v>
      </c>
      <c r="D94" s="27" t="s">
        <v>283</v>
      </c>
      <c r="E94" s="5" t="s">
        <v>284</v>
      </c>
      <c r="F94" s="15" t="s">
        <v>46</v>
      </c>
      <c r="G94" s="15" t="s">
        <v>46</v>
      </c>
      <c r="H94" s="5">
        <v>3.0</v>
      </c>
      <c r="I94" s="5" t="s">
        <v>285</v>
      </c>
      <c r="J94" s="11" t="s">
        <v>286</v>
      </c>
      <c r="L94" s="5" t="s">
        <v>287</v>
      </c>
      <c r="M94" s="5">
        <v>11.0</v>
      </c>
    </row>
    <row r="95" ht="15.75" customHeight="1">
      <c r="A95" s="6">
        <v>45954.0</v>
      </c>
      <c r="B95" s="5">
        <v>10.0</v>
      </c>
      <c r="C95" s="5">
        <v>9.0</v>
      </c>
      <c r="D95" s="5" t="s">
        <v>288</v>
      </c>
      <c r="E95" s="5" t="s">
        <v>289</v>
      </c>
      <c r="F95" s="10" t="s">
        <v>20</v>
      </c>
      <c r="G95" s="3" t="s">
        <v>66</v>
      </c>
      <c r="H95" s="5">
        <v>2.0</v>
      </c>
      <c r="J95" s="11" t="s">
        <v>290</v>
      </c>
      <c r="L95" s="5" t="s">
        <v>291</v>
      </c>
      <c r="M95" s="5">
        <v>8.0</v>
      </c>
    </row>
    <row r="96" ht="15.75" customHeight="1">
      <c r="A96" s="6">
        <v>45957.0</v>
      </c>
      <c r="B96" s="5">
        <v>50.0</v>
      </c>
      <c r="C96" s="5">
        <v>49.0</v>
      </c>
      <c r="D96" s="79" t="s">
        <v>181</v>
      </c>
      <c r="E96" s="5" t="s">
        <v>141</v>
      </c>
      <c r="F96" s="15" t="s">
        <v>46</v>
      </c>
      <c r="G96" s="3" t="s">
        <v>51</v>
      </c>
      <c r="H96" s="5">
        <v>5.0</v>
      </c>
      <c r="J96" s="11" t="s">
        <v>292</v>
      </c>
    </row>
    <row r="97" ht="15.75" customHeight="1">
      <c r="A97" s="6">
        <v>45959.0</v>
      </c>
      <c r="B97" s="79">
        <v>30.0</v>
      </c>
      <c r="C97" s="79">
        <v>30.0</v>
      </c>
      <c r="D97" s="24" t="s">
        <v>293</v>
      </c>
      <c r="E97" s="5" t="s">
        <v>251</v>
      </c>
      <c r="F97" s="15" t="s">
        <v>46</v>
      </c>
      <c r="G97" s="15" t="s">
        <v>46</v>
      </c>
      <c r="H97" s="5">
        <v>3.0</v>
      </c>
      <c r="J97" s="11" t="s">
        <v>294</v>
      </c>
    </row>
    <row r="98" ht="15.75" customHeight="1">
      <c r="A98" s="6">
        <v>45961.0</v>
      </c>
      <c r="B98" s="5">
        <v>37.0</v>
      </c>
      <c r="C98" s="5">
        <v>38.0</v>
      </c>
      <c r="D98" s="5" t="s">
        <v>295</v>
      </c>
      <c r="E98" s="5" t="s">
        <v>296</v>
      </c>
      <c r="F98" s="3" t="s">
        <v>51</v>
      </c>
      <c r="G98" s="15" t="s">
        <v>46</v>
      </c>
      <c r="H98" s="5">
        <v>3.0</v>
      </c>
      <c r="J98" s="11" t="s">
        <v>297</v>
      </c>
    </row>
    <row r="99" ht="15.75" customHeight="1">
      <c r="A99" s="6">
        <v>45969.0</v>
      </c>
      <c r="B99" s="3">
        <v>59.0</v>
      </c>
      <c r="C99" s="3">
        <v>60.0</v>
      </c>
      <c r="D99" s="26" t="s">
        <v>298</v>
      </c>
      <c r="E99" s="5" t="s">
        <v>299</v>
      </c>
      <c r="F99" s="3" t="s">
        <v>51</v>
      </c>
      <c r="G99" s="20" t="s">
        <v>84</v>
      </c>
      <c r="H99" s="5">
        <v>6.0</v>
      </c>
      <c r="J99" s="8">
        <v>45880.0</v>
      </c>
    </row>
    <row r="100" ht="15.75" customHeight="1">
      <c r="A100" s="6">
        <v>45975.0</v>
      </c>
      <c r="B100" s="74">
        <v>57.0</v>
      </c>
      <c r="C100" s="74">
        <v>58.0</v>
      </c>
      <c r="D100" s="23" t="s">
        <v>241</v>
      </c>
      <c r="E100" s="5" t="s">
        <v>300</v>
      </c>
      <c r="F100" s="3" t="s">
        <v>51</v>
      </c>
      <c r="G100" s="3" t="s">
        <v>51</v>
      </c>
      <c r="H100" s="5">
        <v>5.0</v>
      </c>
      <c r="J100" s="11" t="s">
        <v>301</v>
      </c>
    </row>
    <row r="101" ht="15.75" customHeight="1">
      <c r="A101" s="6">
        <v>45982.0</v>
      </c>
      <c r="B101" s="5">
        <v>11.0</v>
      </c>
      <c r="C101" s="5">
        <v>12.0</v>
      </c>
      <c r="D101" s="5" t="s">
        <v>302</v>
      </c>
      <c r="E101" s="83" t="s">
        <v>27</v>
      </c>
      <c r="F101" s="16" t="s">
        <v>47</v>
      </c>
      <c r="G101" s="10" t="s">
        <v>20</v>
      </c>
      <c r="H101" s="5">
        <v>1.0</v>
      </c>
      <c r="J101" s="11" t="s">
        <v>303</v>
      </c>
    </row>
    <row r="102" ht="15.75" customHeight="1">
      <c r="A102" s="6">
        <v>45989.0</v>
      </c>
      <c r="B102" s="3">
        <v>15.0</v>
      </c>
      <c r="C102" s="3">
        <v>16.0</v>
      </c>
      <c r="D102" s="5" t="s">
        <v>304</v>
      </c>
      <c r="E102" s="17" t="s">
        <v>17</v>
      </c>
      <c r="F102" s="16" t="s">
        <v>47</v>
      </c>
      <c r="G102" s="3" t="s">
        <v>39</v>
      </c>
      <c r="H102" s="5">
        <v>7.0</v>
      </c>
      <c r="I102" s="5" t="s">
        <v>305</v>
      </c>
      <c r="J102" s="11" t="s">
        <v>306</v>
      </c>
    </row>
    <row r="103" ht="15.75" customHeight="1">
      <c r="A103" s="84">
        <v>45996.0</v>
      </c>
      <c r="B103" s="5">
        <v>22.0</v>
      </c>
      <c r="C103" s="5">
        <v>21.0</v>
      </c>
      <c r="D103" s="27" t="s">
        <v>307</v>
      </c>
      <c r="E103" s="5" t="s">
        <v>308</v>
      </c>
      <c r="F103" s="3" t="s">
        <v>39</v>
      </c>
      <c r="G103" s="15" t="s">
        <v>46</v>
      </c>
      <c r="H103" s="5">
        <v>3.0</v>
      </c>
      <c r="I103" s="5" t="s">
        <v>309</v>
      </c>
      <c r="J103" s="8">
        <v>45789.0</v>
      </c>
    </row>
    <row r="104" ht="15.75" customHeight="1">
      <c r="A104" s="6">
        <v>46004.0</v>
      </c>
      <c r="B104" s="58">
        <v>61.0</v>
      </c>
      <c r="C104" s="58">
        <v>61.0</v>
      </c>
      <c r="D104" s="27" t="s">
        <v>222</v>
      </c>
      <c r="E104" s="5" t="s">
        <v>42</v>
      </c>
      <c r="F104" s="3" t="s">
        <v>51</v>
      </c>
      <c r="G104" s="3" t="s">
        <v>66</v>
      </c>
      <c r="H104" s="5">
        <v>2.0</v>
      </c>
      <c r="J104" s="11" t="s">
        <v>310</v>
      </c>
    </row>
    <row r="105" ht="15.75" customHeight="1">
      <c r="A105" s="6">
        <v>46010.0</v>
      </c>
      <c r="B105" s="75">
        <v>33.0</v>
      </c>
      <c r="C105" s="75">
        <v>34.0</v>
      </c>
      <c r="D105" s="5" t="s">
        <v>311</v>
      </c>
      <c r="E105" s="5" t="s">
        <v>79</v>
      </c>
      <c r="F105" s="10" t="s">
        <v>20</v>
      </c>
      <c r="G105" s="3" t="s">
        <v>39</v>
      </c>
      <c r="H105" s="5">
        <v>7.0</v>
      </c>
      <c r="I105" s="5" t="s">
        <v>312</v>
      </c>
      <c r="J105" s="11" t="s">
        <v>313</v>
      </c>
    </row>
    <row r="106" ht="15.75" customHeight="1">
      <c r="A106" s="6">
        <v>46017.0</v>
      </c>
      <c r="B106" s="85">
        <v>47.0</v>
      </c>
      <c r="C106" s="85">
        <v>48.0</v>
      </c>
      <c r="D106" s="5" t="s">
        <v>60</v>
      </c>
      <c r="E106" s="82" t="s">
        <v>22</v>
      </c>
      <c r="F106" s="3" t="s">
        <v>66</v>
      </c>
      <c r="G106" s="20" t="s">
        <v>84</v>
      </c>
      <c r="H106" s="5">
        <v>6.0</v>
      </c>
      <c r="I106" s="5" t="s">
        <v>314</v>
      </c>
      <c r="J106" s="11" t="s">
        <v>315</v>
      </c>
    </row>
    <row r="107" ht="15.75" customHeight="1">
      <c r="A107" s="6">
        <v>46024.0</v>
      </c>
      <c r="B107" s="5">
        <v>5.0</v>
      </c>
      <c r="C107" s="5">
        <v>6.0</v>
      </c>
      <c r="D107" s="5" t="s">
        <v>215</v>
      </c>
      <c r="E107" s="5" t="s">
        <v>316</v>
      </c>
      <c r="F107" s="20" t="s">
        <v>84</v>
      </c>
      <c r="G107" s="10" t="s">
        <v>20</v>
      </c>
      <c r="H107" s="5">
        <v>1.0</v>
      </c>
      <c r="I107" s="5" t="s">
        <v>317</v>
      </c>
      <c r="J107" s="8">
        <v>46054.0</v>
      </c>
    </row>
    <row r="108" ht="15.75" customHeight="1">
      <c r="A108" s="6">
        <v>46031.0</v>
      </c>
      <c r="B108" s="64">
        <v>44.0</v>
      </c>
      <c r="C108" s="64">
        <v>43.0</v>
      </c>
      <c r="D108" s="5" t="s">
        <v>318</v>
      </c>
      <c r="E108" s="5" t="s">
        <v>189</v>
      </c>
      <c r="F108" s="10" t="s">
        <v>20</v>
      </c>
      <c r="G108" s="3" t="s">
        <v>51</v>
      </c>
      <c r="H108" s="5">
        <v>5.0</v>
      </c>
      <c r="I108" s="5" t="s">
        <v>312</v>
      </c>
      <c r="J108" s="8">
        <v>46266.0</v>
      </c>
    </row>
    <row r="109" ht="15.75" customHeight="1">
      <c r="A109" s="6">
        <v>46038.0</v>
      </c>
      <c r="B109" s="5">
        <v>39.0</v>
      </c>
      <c r="C109" s="5">
        <v>40.0</v>
      </c>
      <c r="D109" s="5" t="s">
        <v>257</v>
      </c>
      <c r="E109" s="5" t="s">
        <v>319</v>
      </c>
      <c r="F109" s="20" t="s">
        <v>84</v>
      </c>
      <c r="G109" s="3" t="s">
        <v>39</v>
      </c>
      <c r="H109" s="5">
        <v>7.0</v>
      </c>
      <c r="I109" s="5" t="s">
        <v>317</v>
      </c>
      <c r="J109" s="11" t="s">
        <v>320</v>
      </c>
    </row>
    <row r="110" ht="15.75" customHeight="1">
      <c r="A110" s="6">
        <v>46045.0</v>
      </c>
      <c r="B110" s="76">
        <v>53.0</v>
      </c>
      <c r="C110" s="76">
        <v>54.0</v>
      </c>
      <c r="D110" s="26" t="s">
        <v>321</v>
      </c>
      <c r="E110" s="5" t="s">
        <v>322</v>
      </c>
      <c r="F110" s="3" t="s">
        <v>51</v>
      </c>
      <c r="G110" s="3" t="s">
        <v>39</v>
      </c>
      <c r="H110" s="5">
        <v>7.0</v>
      </c>
      <c r="I110" s="5" t="s">
        <v>309</v>
      </c>
      <c r="J110" s="11" t="s">
        <v>323</v>
      </c>
    </row>
    <row r="111" ht="15.75" customHeight="1">
      <c r="A111" s="6">
        <v>46052.0</v>
      </c>
      <c r="B111" s="86">
        <v>36.0</v>
      </c>
      <c r="C111" s="86">
        <v>35.0</v>
      </c>
      <c r="D111" s="27" t="s">
        <v>211</v>
      </c>
      <c r="E111" s="5" t="s">
        <v>324</v>
      </c>
      <c r="F111" s="16" t="s">
        <v>47</v>
      </c>
      <c r="G111" s="15" t="s">
        <v>46</v>
      </c>
      <c r="H111" s="5">
        <v>3.0</v>
      </c>
      <c r="I111" s="5" t="s">
        <v>325</v>
      </c>
      <c r="J111" s="11" t="s">
        <v>326</v>
      </c>
    </row>
    <row r="112" ht="15.75" customHeight="1">
      <c r="A112" s="6">
        <v>46059.0</v>
      </c>
      <c r="B112" s="77">
        <v>17.0</v>
      </c>
      <c r="C112" s="77">
        <v>18.0</v>
      </c>
      <c r="D112" s="5" t="s">
        <v>327</v>
      </c>
      <c r="E112" s="5" t="s">
        <v>328</v>
      </c>
      <c r="F112" s="3" t="s">
        <v>66</v>
      </c>
      <c r="G112" s="3" t="s">
        <v>15</v>
      </c>
      <c r="H112" s="5">
        <v>4.0</v>
      </c>
      <c r="I112" s="5" t="s">
        <v>317</v>
      </c>
      <c r="J112" s="8">
        <v>46175.0</v>
      </c>
    </row>
    <row r="113" ht="15.75" customHeight="1">
      <c r="A113" s="6">
        <v>46066.0</v>
      </c>
      <c r="B113" s="5">
        <v>13.0</v>
      </c>
      <c r="C113" s="5">
        <v>14.0</v>
      </c>
      <c r="D113" s="5" t="s">
        <v>55</v>
      </c>
      <c r="E113" s="5" t="s">
        <v>141</v>
      </c>
      <c r="F113" s="10" t="s">
        <v>20</v>
      </c>
      <c r="G113" s="15" t="s">
        <v>46</v>
      </c>
      <c r="H113" s="5">
        <v>3.0</v>
      </c>
      <c r="I113" s="5" t="s">
        <v>329</v>
      </c>
      <c r="J113" s="11" t="s">
        <v>330</v>
      </c>
    </row>
    <row r="114" ht="15.75" customHeight="1">
      <c r="A114" s="6">
        <v>46073.0</v>
      </c>
      <c r="B114" s="5">
        <v>52.0</v>
      </c>
      <c r="C114" s="5">
        <v>51.0</v>
      </c>
      <c r="D114" s="5" t="s">
        <v>295</v>
      </c>
      <c r="E114" s="5" t="s">
        <v>328</v>
      </c>
      <c r="F114" s="3" t="s">
        <v>39</v>
      </c>
      <c r="G114" s="3" t="s">
        <v>39</v>
      </c>
      <c r="H114" s="5">
        <v>7.0</v>
      </c>
      <c r="I114" s="5" t="s">
        <v>331</v>
      </c>
      <c r="J114" s="11" t="s">
        <v>267</v>
      </c>
    </row>
    <row r="115" ht="15.75" customHeight="1">
      <c r="A115" s="6">
        <v>46080.0</v>
      </c>
      <c r="B115" s="46">
        <v>31.0</v>
      </c>
      <c r="C115" s="46">
        <v>32.0</v>
      </c>
      <c r="D115" s="5" t="s">
        <v>31</v>
      </c>
      <c r="E115" s="25" t="s">
        <v>27</v>
      </c>
      <c r="F115" s="3" t="s">
        <v>66</v>
      </c>
      <c r="G115" s="3" t="s">
        <v>39</v>
      </c>
      <c r="H115" s="5">
        <v>7.0</v>
      </c>
      <c r="I115" s="5" t="s">
        <v>317</v>
      </c>
      <c r="J115" s="11" t="s">
        <v>332</v>
      </c>
    </row>
    <row r="116" ht="15.75" customHeight="1">
      <c r="A116" s="6">
        <v>46087.0</v>
      </c>
      <c r="B116" s="5">
        <v>46.0</v>
      </c>
      <c r="C116" s="5">
        <v>45.0</v>
      </c>
      <c r="D116" s="5" t="s">
        <v>333</v>
      </c>
      <c r="E116" s="5" t="s">
        <v>35</v>
      </c>
      <c r="F116" s="16" t="s">
        <v>47</v>
      </c>
      <c r="G116" s="3" t="s">
        <v>51</v>
      </c>
      <c r="H116" s="5">
        <v>5.0</v>
      </c>
      <c r="I116" s="5" t="s">
        <v>331</v>
      </c>
      <c r="J116" s="8">
        <v>46176.0</v>
      </c>
    </row>
    <row r="117" ht="15.75" customHeight="1">
      <c r="A117" s="6">
        <v>46091.0</v>
      </c>
      <c r="B117" s="81">
        <v>34.0</v>
      </c>
      <c r="C117" s="81">
        <v>33.0</v>
      </c>
      <c r="D117" s="30" t="s">
        <v>334</v>
      </c>
      <c r="E117" s="5" t="s">
        <v>335</v>
      </c>
      <c r="F117" s="3" t="s">
        <v>15</v>
      </c>
      <c r="G117" s="10" t="s">
        <v>20</v>
      </c>
      <c r="H117" s="5">
        <v>1.0</v>
      </c>
      <c r="I117" s="5" t="s">
        <v>336</v>
      </c>
      <c r="J117" s="8">
        <v>46298.0</v>
      </c>
    </row>
    <row r="118" ht="15.75" customHeight="1">
      <c r="A118" s="6">
        <v>46093.0</v>
      </c>
      <c r="B118" s="87">
        <v>62.0</v>
      </c>
      <c r="C118" s="87">
        <v>62.0</v>
      </c>
      <c r="D118" s="27" t="s">
        <v>337</v>
      </c>
      <c r="E118" s="5" t="s">
        <v>200</v>
      </c>
      <c r="F118" s="3" t="s">
        <v>15</v>
      </c>
      <c r="G118" s="3" t="s">
        <v>39</v>
      </c>
      <c r="H118" s="5">
        <v>7.0</v>
      </c>
      <c r="I118" s="5" t="s">
        <v>338</v>
      </c>
      <c r="J118" s="11" t="s">
        <v>339</v>
      </c>
    </row>
    <row r="119" ht="15.75" customHeight="1">
      <c r="A119" s="6">
        <v>46094.0</v>
      </c>
      <c r="B119" s="5">
        <v>41.0</v>
      </c>
      <c r="C119" s="5">
        <v>42.0</v>
      </c>
      <c r="D119" s="5" t="s">
        <v>234</v>
      </c>
      <c r="E119" s="5" t="s">
        <v>60</v>
      </c>
      <c r="F119" s="3" t="s">
        <v>39</v>
      </c>
      <c r="G119" s="3" t="s">
        <v>66</v>
      </c>
      <c r="H119" s="5">
        <v>2.0</v>
      </c>
      <c r="I119" s="5" t="s">
        <v>340</v>
      </c>
      <c r="J119" s="11" t="s">
        <v>341</v>
      </c>
    </row>
    <row r="120" ht="15.75" customHeight="1">
      <c r="A120" s="6">
        <v>46101.0</v>
      </c>
      <c r="B120" s="5">
        <v>4.0</v>
      </c>
      <c r="C120" s="5">
        <v>3.0</v>
      </c>
      <c r="D120" s="5" t="s">
        <v>55</v>
      </c>
      <c r="E120" s="5" t="s">
        <v>342</v>
      </c>
      <c r="F120" s="3" t="s">
        <v>39</v>
      </c>
      <c r="G120" s="20" t="s">
        <v>84</v>
      </c>
      <c r="H120" s="5">
        <v>6.0</v>
      </c>
      <c r="I120" s="5" t="s">
        <v>343</v>
      </c>
      <c r="J120" s="11" t="s">
        <v>344</v>
      </c>
    </row>
    <row r="121" ht="15.75" customHeight="1">
      <c r="A121" s="6">
        <v>46108.0</v>
      </c>
      <c r="B121" s="88">
        <v>54.0</v>
      </c>
      <c r="C121" s="88">
        <v>53.0</v>
      </c>
      <c r="D121" s="5" t="s">
        <v>198</v>
      </c>
      <c r="E121" s="5" t="s">
        <v>345</v>
      </c>
      <c r="F121" s="3" t="s">
        <v>15</v>
      </c>
      <c r="G121" s="3" t="s">
        <v>66</v>
      </c>
      <c r="H121" s="5">
        <v>2.0</v>
      </c>
      <c r="I121" s="5" t="s">
        <v>317</v>
      </c>
      <c r="J121" s="11" t="s">
        <v>346</v>
      </c>
    </row>
    <row r="122" ht="15.75" customHeight="1">
      <c r="A122" s="6">
        <v>46115.0</v>
      </c>
      <c r="B122" s="85">
        <v>47.0</v>
      </c>
      <c r="C122" s="85">
        <v>48.0</v>
      </c>
      <c r="D122" s="89" t="s">
        <v>347</v>
      </c>
      <c r="E122" s="5" t="s">
        <v>348</v>
      </c>
      <c r="F122" s="3" t="s">
        <v>66</v>
      </c>
      <c r="G122" s="20" t="s">
        <v>84</v>
      </c>
      <c r="H122" s="5">
        <v>6.0</v>
      </c>
      <c r="I122" s="5" t="s">
        <v>309</v>
      </c>
      <c r="J122" s="8">
        <v>46085.0</v>
      </c>
    </row>
    <row r="123" ht="15.75" customHeight="1">
      <c r="A123" s="6">
        <v>46131.0</v>
      </c>
      <c r="B123" s="62">
        <v>58.0</v>
      </c>
      <c r="C123" s="62">
        <v>57.0</v>
      </c>
      <c r="D123" s="5" t="s">
        <v>349</v>
      </c>
      <c r="E123" s="5" t="s">
        <v>212</v>
      </c>
      <c r="F123" s="3" t="s">
        <v>66</v>
      </c>
      <c r="G123" s="3" t="s">
        <v>66</v>
      </c>
      <c r="H123" s="5">
        <v>2.0</v>
      </c>
      <c r="I123" s="5" t="s">
        <v>350</v>
      </c>
      <c r="J123" s="11" t="s">
        <v>273</v>
      </c>
    </row>
    <row r="124" ht="15.75" customHeight="1">
      <c r="A124" s="6">
        <v>46132.0</v>
      </c>
      <c r="B124" s="77">
        <v>17.0</v>
      </c>
      <c r="C124" s="77">
        <v>18.0</v>
      </c>
      <c r="D124" s="57" t="s">
        <v>351</v>
      </c>
      <c r="E124" s="5" t="s">
        <v>352</v>
      </c>
      <c r="F124" s="3" t="s">
        <v>66</v>
      </c>
      <c r="G124" s="3" t="s">
        <v>15</v>
      </c>
      <c r="H124" s="5">
        <v>4.0</v>
      </c>
      <c r="I124" s="5" t="s">
        <v>353</v>
      </c>
      <c r="J124" s="11" t="s">
        <v>354</v>
      </c>
    </row>
    <row r="125" ht="15.75" customHeight="1">
      <c r="A125" s="1"/>
      <c r="J125" s="4"/>
    </row>
    <row r="126" ht="15.75" customHeight="1">
      <c r="A126" s="1"/>
      <c r="J126" s="4"/>
    </row>
    <row r="127" ht="15.75" customHeight="1">
      <c r="A127" s="1"/>
      <c r="J127" s="4"/>
    </row>
    <row r="128" ht="15.75" customHeight="1">
      <c r="A128" s="1"/>
      <c r="J128" s="4"/>
    </row>
    <row r="129" ht="15.75" customHeight="1">
      <c r="A129" s="1"/>
      <c r="J129" s="4"/>
    </row>
    <row r="130" ht="15.75" customHeight="1">
      <c r="A130" s="1"/>
      <c r="J130" s="4"/>
    </row>
    <row r="131" ht="15.75" customHeight="1">
      <c r="A131" s="1"/>
      <c r="J131" s="4"/>
    </row>
    <row r="132" ht="15.75" customHeight="1">
      <c r="A132" s="1"/>
      <c r="J132" s="4"/>
    </row>
    <row r="133" ht="15.75" customHeight="1">
      <c r="A133" s="1"/>
      <c r="J133" s="4"/>
    </row>
    <row r="134" ht="15.75" customHeight="1">
      <c r="A134" s="1"/>
      <c r="J134" s="4"/>
    </row>
    <row r="135" ht="15.75" customHeight="1">
      <c r="A135" s="1"/>
      <c r="J135" s="4"/>
    </row>
    <row r="136" ht="15.75" customHeight="1">
      <c r="A136" s="1"/>
      <c r="J136" s="4"/>
    </row>
    <row r="137" ht="15.75" customHeight="1">
      <c r="A137" s="1"/>
      <c r="J137" s="4"/>
    </row>
    <row r="138" ht="15.75" customHeight="1">
      <c r="A138" s="1"/>
      <c r="J138" s="4"/>
    </row>
    <row r="139" ht="15.75" customHeight="1">
      <c r="A139" s="1"/>
      <c r="J139" s="4"/>
    </row>
    <row r="140" ht="15.75" customHeight="1">
      <c r="A140" s="1"/>
      <c r="J140" s="4"/>
    </row>
    <row r="141" ht="15.75" customHeight="1">
      <c r="A141" s="1"/>
      <c r="J141" s="4"/>
    </row>
    <row r="142" ht="15.75" customHeight="1">
      <c r="A142" s="1"/>
      <c r="J142" s="4"/>
    </row>
    <row r="143" ht="15.75" customHeight="1">
      <c r="A143" s="1"/>
      <c r="J143" s="4"/>
    </row>
    <row r="144" ht="15.75" customHeight="1">
      <c r="A144" s="1"/>
      <c r="J144" s="4"/>
    </row>
    <row r="145" ht="15.75" customHeight="1">
      <c r="A145" s="1"/>
      <c r="J145" s="4"/>
    </row>
    <row r="146" ht="15.75" customHeight="1">
      <c r="A146" s="1"/>
      <c r="J146" s="4"/>
    </row>
    <row r="147" ht="15.75" customHeight="1">
      <c r="A147" s="1"/>
      <c r="J147" s="4"/>
    </row>
    <row r="148" ht="15.75" customHeight="1">
      <c r="A148" s="1"/>
      <c r="J148" s="4"/>
    </row>
    <row r="149" ht="15.75" customHeight="1">
      <c r="A149" s="1"/>
      <c r="J149" s="4"/>
    </row>
    <row r="150" ht="15.75" customHeight="1">
      <c r="A150" s="1"/>
      <c r="J150" s="4"/>
    </row>
    <row r="151" ht="15.75" customHeight="1">
      <c r="A151" s="1"/>
      <c r="J151" s="4"/>
    </row>
    <row r="152" ht="15.75" customHeight="1">
      <c r="A152" s="1"/>
      <c r="J152" s="4"/>
    </row>
    <row r="153" ht="15.75" customHeight="1">
      <c r="A153" s="1"/>
      <c r="J153" s="4"/>
    </row>
    <row r="154" ht="15.75" customHeight="1">
      <c r="A154" s="1"/>
      <c r="J154" s="4"/>
    </row>
    <row r="155" ht="15.75" customHeight="1">
      <c r="A155" s="1"/>
      <c r="J155" s="4"/>
    </row>
    <row r="156" ht="15.75" customHeight="1">
      <c r="A156" s="1"/>
      <c r="J156" s="4"/>
    </row>
    <row r="157" ht="15.75" customHeight="1">
      <c r="A157" s="1"/>
      <c r="J157" s="4"/>
    </row>
    <row r="158" ht="15.75" customHeight="1">
      <c r="A158" s="1"/>
      <c r="J158" s="4"/>
    </row>
    <row r="159" ht="15.75" customHeight="1">
      <c r="A159" s="1"/>
      <c r="J159" s="4"/>
    </row>
    <row r="160" ht="15.75" customHeight="1">
      <c r="A160" s="1"/>
      <c r="J160" s="4"/>
    </row>
    <row r="161" ht="15.75" customHeight="1">
      <c r="A161" s="1"/>
      <c r="J161" s="4"/>
    </row>
    <row r="162" ht="15.75" customHeight="1">
      <c r="A162" s="1"/>
      <c r="J162" s="4"/>
    </row>
    <row r="163" ht="15.75" customHeight="1">
      <c r="A163" s="1"/>
      <c r="J163" s="4"/>
    </row>
    <row r="164" ht="15.75" customHeight="1">
      <c r="A164" s="1"/>
      <c r="J164" s="4"/>
    </row>
    <row r="165" ht="15.75" customHeight="1">
      <c r="A165" s="1"/>
      <c r="J165" s="4"/>
    </row>
    <row r="166" ht="15.75" customHeight="1">
      <c r="A166" s="1"/>
      <c r="J166" s="4"/>
    </row>
    <row r="167" ht="15.75" customHeight="1">
      <c r="A167" s="1"/>
      <c r="J167" s="4"/>
    </row>
    <row r="168" ht="15.75" customHeight="1">
      <c r="A168" s="1"/>
      <c r="J168" s="4"/>
    </row>
    <row r="169" ht="15.75" customHeight="1">
      <c r="A169" s="1"/>
      <c r="J169" s="4"/>
    </row>
    <row r="170" ht="15.75" customHeight="1">
      <c r="A170" s="1"/>
      <c r="J170" s="4"/>
    </row>
    <row r="171" ht="15.75" customHeight="1">
      <c r="A171" s="1"/>
      <c r="J171" s="4"/>
    </row>
    <row r="172" ht="15.75" customHeight="1">
      <c r="A172" s="1"/>
      <c r="J172" s="4"/>
    </row>
    <row r="173" ht="15.75" customHeight="1">
      <c r="A173" s="1"/>
      <c r="J173" s="4"/>
    </row>
    <row r="174" ht="15.75" customHeight="1">
      <c r="A174" s="1"/>
      <c r="J174" s="4"/>
    </row>
    <row r="175" ht="15.75" customHeight="1">
      <c r="A175" s="1"/>
      <c r="J175" s="4"/>
    </row>
    <row r="176" ht="15.75" customHeight="1">
      <c r="A176" s="1"/>
      <c r="J176" s="4"/>
    </row>
    <row r="177" ht="15.75" customHeight="1">
      <c r="A177" s="1"/>
      <c r="J177" s="4"/>
    </row>
    <row r="178" ht="15.75" customHeight="1">
      <c r="A178" s="1"/>
      <c r="J178" s="4"/>
    </row>
    <row r="179" ht="15.75" customHeight="1">
      <c r="A179" s="1"/>
      <c r="J179" s="4"/>
    </row>
    <row r="180" ht="15.75" customHeight="1">
      <c r="A180" s="1"/>
      <c r="J180" s="4"/>
    </row>
    <row r="181" ht="15.75" customHeight="1">
      <c r="A181" s="1"/>
      <c r="J181" s="4"/>
    </row>
    <row r="182" ht="15.75" customHeight="1">
      <c r="A182" s="1"/>
      <c r="J182" s="4"/>
    </row>
    <row r="183" ht="15.75" customHeight="1">
      <c r="A183" s="1"/>
      <c r="J183" s="4"/>
    </row>
    <row r="184" ht="15.75" customHeight="1">
      <c r="A184" s="1"/>
      <c r="J184" s="4"/>
    </row>
    <row r="185" ht="15.75" customHeight="1">
      <c r="A185" s="1"/>
      <c r="J185" s="4"/>
    </row>
    <row r="186" ht="15.75" customHeight="1">
      <c r="A186" s="1"/>
      <c r="J186" s="4"/>
    </row>
    <row r="187" ht="15.75" customHeight="1">
      <c r="A187" s="1"/>
      <c r="J187" s="4"/>
    </row>
    <row r="188" ht="15.75" customHeight="1">
      <c r="A188" s="1"/>
      <c r="J188" s="4"/>
    </row>
    <row r="189" ht="15.75" customHeight="1">
      <c r="A189" s="1"/>
      <c r="J189" s="4"/>
    </row>
    <row r="190" ht="15.75" customHeight="1">
      <c r="A190" s="1"/>
      <c r="J190" s="4"/>
    </row>
    <row r="191" ht="15.75" customHeight="1">
      <c r="A191" s="1"/>
      <c r="J191" s="4"/>
    </row>
    <row r="192" ht="15.75" customHeight="1">
      <c r="A192" s="1"/>
      <c r="J192" s="4"/>
    </row>
    <row r="193" ht="15.75" customHeight="1">
      <c r="A193" s="1"/>
      <c r="J193" s="4"/>
    </row>
    <row r="194" ht="15.75" customHeight="1">
      <c r="A194" s="1"/>
      <c r="J194" s="4"/>
    </row>
    <row r="195" ht="15.75" customHeight="1">
      <c r="A195" s="1"/>
      <c r="J195" s="4"/>
    </row>
    <row r="196" ht="15.75" customHeight="1">
      <c r="A196" s="1"/>
      <c r="J196" s="4"/>
    </row>
    <row r="197" ht="15.75" customHeight="1">
      <c r="A197" s="1"/>
      <c r="J197" s="4"/>
    </row>
    <row r="198" ht="15.75" customHeight="1">
      <c r="A198" s="1"/>
      <c r="J198" s="4"/>
    </row>
    <row r="199" ht="15.75" customHeight="1">
      <c r="A199" s="1"/>
      <c r="J199" s="4"/>
    </row>
    <row r="200" ht="15.75" customHeight="1">
      <c r="A200" s="1"/>
      <c r="J200" s="4"/>
    </row>
    <row r="201" ht="15.75" customHeight="1">
      <c r="A201" s="1"/>
      <c r="J201" s="4"/>
    </row>
    <row r="202" ht="15.75" customHeight="1">
      <c r="A202" s="1"/>
      <c r="J202" s="4"/>
    </row>
    <row r="203" ht="15.75" customHeight="1">
      <c r="A203" s="1"/>
      <c r="J203" s="4"/>
    </row>
    <row r="204" ht="15.75" customHeight="1">
      <c r="A204" s="1"/>
      <c r="J204" s="4"/>
    </row>
    <row r="205" ht="15.75" customHeight="1">
      <c r="A205" s="1"/>
      <c r="J205" s="4"/>
    </row>
    <row r="206" ht="15.75" customHeight="1">
      <c r="A206" s="1"/>
      <c r="J206" s="4"/>
    </row>
    <row r="207" ht="15.75" customHeight="1">
      <c r="A207" s="1"/>
      <c r="J207" s="4"/>
    </row>
    <row r="208" ht="15.75" customHeight="1">
      <c r="A208" s="1"/>
      <c r="J208" s="4"/>
    </row>
    <row r="209" ht="15.75" customHeight="1">
      <c r="A209" s="1"/>
      <c r="J209" s="4"/>
    </row>
    <row r="210" ht="15.75" customHeight="1">
      <c r="A210" s="1"/>
      <c r="J210" s="4"/>
    </row>
    <row r="211" ht="15.75" customHeight="1">
      <c r="A211" s="1"/>
      <c r="J211" s="4"/>
    </row>
    <row r="212" ht="15.75" customHeight="1">
      <c r="A212" s="1"/>
      <c r="J212" s="4"/>
    </row>
    <row r="213" ht="15.75" customHeight="1">
      <c r="A213" s="1"/>
      <c r="J213" s="4"/>
    </row>
    <row r="214" ht="15.75" customHeight="1">
      <c r="A214" s="1"/>
      <c r="J214" s="4"/>
    </row>
    <row r="215" ht="15.75" customHeight="1">
      <c r="A215" s="1"/>
      <c r="J215" s="4"/>
    </row>
    <row r="216" ht="15.75" customHeight="1">
      <c r="A216" s="1"/>
      <c r="J216" s="4"/>
    </row>
    <row r="217" ht="15.75" customHeight="1">
      <c r="A217" s="1"/>
      <c r="J217" s="4"/>
    </row>
    <row r="218" ht="15.75" customHeight="1">
      <c r="A218" s="1"/>
      <c r="J218" s="4"/>
    </row>
    <row r="219" ht="15.75" customHeight="1">
      <c r="A219" s="1"/>
      <c r="J219" s="4"/>
    </row>
    <row r="220" ht="15.75" customHeight="1">
      <c r="A220" s="1"/>
      <c r="J220" s="4"/>
    </row>
    <row r="221" ht="15.75" customHeight="1">
      <c r="A221" s="1"/>
      <c r="J221" s="4"/>
    </row>
    <row r="222" ht="15.75" customHeight="1">
      <c r="A222" s="1"/>
      <c r="J222" s="4"/>
    </row>
    <row r="223" ht="15.75" customHeight="1">
      <c r="A223" s="1"/>
      <c r="J223" s="4"/>
    </row>
    <row r="224" ht="15.75" customHeight="1">
      <c r="A224" s="1"/>
      <c r="J224" s="4"/>
    </row>
    <row r="225" ht="15.75" customHeight="1">
      <c r="A225" s="1"/>
      <c r="J225" s="4"/>
    </row>
    <row r="226" ht="15.75" customHeight="1">
      <c r="A226" s="1"/>
      <c r="J226" s="4"/>
    </row>
    <row r="227" ht="15.75" customHeight="1">
      <c r="A227" s="1"/>
      <c r="J227" s="4"/>
    </row>
    <row r="228" ht="15.75" customHeight="1">
      <c r="A228" s="1"/>
      <c r="J228" s="4"/>
    </row>
    <row r="229" ht="15.75" customHeight="1">
      <c r="A229" s="1"/>
      <c r="J229" s="4"/>
    </row>
    <row r="230" ht="15.75" customHeight="1">
      <c r="A230" s="1"/>
      <c r="J230" s="4"/>
    </row>
    <row r="231" ht="15.75" customHeight="1">
      <c r="A231" s="1"/>
      <c r="J231" s="4"/>
    </row>
    <row r="232" ht="15.75" customHeight="1">
      <c r="A232" s="1"/>
      <c r="J232" s="4"/>
    </row>
    <row r="233" ht="15.75" customHeight="1">
      <c r="A233" s="1"/>
      <c r="J233" s="4"/>
    </row>
    <row r="234" ht="15.75" customHeight="1">
      <c r="A234" s="1"/>
      <c r="J234" s="4"/>
    </row>
    <row r="235" ht="15.75" customHeight="1">
      <c r="A235" s="1"/>
      <c r="J235" s="4"/>
    </row>
    <row r="236" ht="15.75" customHeight="1">
      <c r="A236" s="1"/>
      <c r="J236" s="4"/>
    </row>
    <row r="237" ht="15.75" customHeight="1">
      <c r="A237" s="1"/>
      <c r="J237" s="4"/>
    </row>
    <row r="238" ht="15.75" customHeight="1">
      <c r="A238" s="1"/>
      <c r="J238" s="4"/>
    </row>
    <row r="239" ht="15.75" customHeight="1">
      <c r="A239" s="1"/>
      <c r="J239" s="4"/>
    </row>
    <row r="240" ht="15.75" customHeight="1">
      <c r="A240" s="1"/>
      <c r="J240" s="4"/>
    </row>
    <row r="241" ht="15.75" customHeight="1">
      <c r="A241" s="1"/>
      <c r="J241" s="4"/>
    </row>
    <row r="242" ht="15.75" customHeight="1">
      <c r="A242" s="1"/>
      <c r="J242" s="4"/>
    </row>
    <row r="243" ht="15.75" customHeight="1">
      <c r="A243" s="1"/>
      <c r="J243" s="4"/>
    </row>
    <row r="244" ht="15.75" customHeight="1">
      <c r="A244" s="1"/>
      <c r="J244" s="4"/>
    </row>
    <row r="245" ht="15.75" customHeight="1">
      <c r="A245" s="1"/>
      <c r="J245" s="4"/>
    </row>
    <row r="246" ht="15.75" customHeight="1">
      <c r="A246" s="1"/>
      <c r="J246" s="4"/>
    </row>
    <row r="247" ht="15.75" customHeight="1">
      <c r="A247" s="1"/>
      <c r="J247" s="4"/>
    </row>
    <row r="248" ht="15.75" customHeight="1">
      <c r="A248" s="1"/>
      <c r="J248" s="4"/>
    </row>
    <row r="249" ht="15.75" customHeight="1">
      <c r="A249" s="1"/>
      <c r="J249" s="4"/>
    </row>
    <row r="250" ht="15.75" customHeight="1">
      <c r="A250" s="1"/>
      <c r="J250" s="4"/>
    </row>
    <row r="251" ht="15.75" customHeight="1">
      <c r="A251" s="1"/>
      <c r="J251" s="4"/>
    </row>
    <row r="252" ht="15.75" customHeight="1">
      <c r="A252" s="1"/>
      <c r="J252" s="4"/>
    </row>
    <row r="253" ht="15.75" customHeight="1">
      <c r="A253" s="1"/>
      <c r="J253" s="4"/>
    </row>
    <row r="254" ht="15.75" customHeight="1">
      <c r="A254" s="1"/>
      <c r="J254" s="4"/>
    </row>
    <row r="255" ht="15.75" customHeight="1">
      <c r="A255" s="1"/>
      <c r="J255" s="4"/>
    </row>
    <row r="256" ht="15.75" customHeight="1">
      <c r="A256" s="1"/>
      <c r="J256" s="4"/>
    </row>
    <row r="257" ht="15.75" customHeight="1">
      <c r="A257" s="1"/>
      <c r="J257" s="4"/>
    </row>
    <row r="258" ht="15.75" customHeight="1">
      <c r="A258" s="1"/>
      <c r="J258" s="4"/>
    </row>
    <row r="259" ht="15.75" customHeight="1">
      <c r="A259" s="1"/>
      <c r="J259" s="4"/>
    </row>
    <row r="260" ht="15.75" customHeight="1">
      <c r="A260" s="1"/>
      <c r="J260" s="4"/>
    </row>
    <row r="261" ht="15.75" customHeight="1">
      <c r="A261" s="1"/>
      <c r="J261" s="4"/>
    </row>
    <row r="262" ht="15.75" customHeight="1">
      <c r="A262" s="1"/>
      <c r="J262" s="4"/>
    </row>
    <row r="263" ht="15.75" customHeight="1">
      <c r="A263" s="1"/>
      <c r="J263" s="4"/>
    </row>
    <row r="264" ht="15.75" customHeight="1">
      <c r="A264" s="1"/>
      <c r="J264" s="4"/>
    </row>
    <row r="265" ht="15.75" customHeight="1">
      <c r="A265" s="1"/>
      <c r="J265" s="4"/>
    </row>
    <row r="266" ht="15.75" customHeight="1">
      <c r="A266" s="1"/>
      <c r="J266" s="4"/>
    </row>
    <row r="267" ht="15.75" customHeight="1">
      <c r="A267" s="1"/>
      <c r="J267" s="4"/>
    </row>
    <row r="268" ht="15.75" customHeight="1">
      <c r="A268" s="1"/>
      <c r="J268" s="4"/>
    </row>
    <row r="269" ht="15.75" customHeight="1">
      <c r="A269" s="1"/>
      <c r="J269" s="4"/>
    </row>
    <row r="270" ht="15.75" customHeight="1">
      <c r="A270" s="1"/>
      <c r="J270" s="4"/>
    </row>
    <row r="271" ht="15.75" customHeight="1">
      <c r="A271" s="1"/>
      <c r="J271" s="4"/>
    </row>
    <row r="272" ht="15.75" customHeight="1">
      <c r="A272" s="1"/>
      <c r="J272" s="4"/>
    </row>
    <row r="273" ht="15.75" customHeight="1">
      <c r="A273" s="1"/>
      <c r="J273" s="4"/>
    </row>
    <row r="274" ht="15.75" customHeight="1">
      <c r="A274" s="1"/>
      <c r="J274" s="4"/>
    </row>
    <row r="275" ht="15.75" customHeight="1">
      <c r="A275" s="1"/>
      <c r="J275" s="4"/>
    </row>
    <row r="276" ht="15.75" customHeight="1">
      <c r="A276" s="1"/>
      <c r="J276" s="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